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4"/>
    <sheet state="visible" name="RRA Sys" sheetId="2" r:id="rId5"/>
    <sheet state="visible" name="Sheet6" sheetId="3" r:id="rId6"/>
    <sheet state="visible" name="Port Sys" sheetId="4" r:id="rId7"/>
    <sheet state="visible" name="Recon" sheetId="5" r:id="rId8"/>
  </sheets>
  <definedNames>
    <definedName hidden="1" localSheetId="1" name="_xlnm._FilterDatabase">'RRA Sys'!$A$2:$H$251</definedName>
    <definedName hidden="1" localSheetId="3" name="_xlnm._FilterDatabase">'Port Sys'!$A$9:$I$419</definedName>
    <definedName hidden="1" localSheetId="4" name="_xlnm._FilterDatabase">Recon!$A$9:$H$419</definedName>
  </definedNames>
  <calcPr/>
  <pivotCaches>
    <pivotCache cacheId="0" r:id="rId9"/>
    <pivotCache cacheId="1" r:id="rId10"/>
  </pivotCaches>
  <extLst>
    <ext uri="GoogleSheetsCustomDataVersion2">
      <go:sheetsCustomData xmlns:go="http://customooxmlschemas.google.com/" r:id="rId11" roundtripDataChecksum="C1NJ2VLrwMUmyUHtazMmskS41euT3A5hwUlVx+1H/L0="/>
    </ext>
  </extLst>
</workbook>
</file>

<file path=xl/sharedStrings.xml><?xml version="1.0" encoding="utf-8"?>
<sst xmlns="http://schemas.openxmlformats.org/spreadsheetml/2006/main" count="5588" uniqueCount="1316">
  <si>
    <t>Service</t>
  </si>
  <si>
    <t>Sum of Amount</t>
  </si>
  <si>
    <t>Barge Berthing (Barges Not More Than 60m LOA) - Period More Than 3 Days</t>
  </si>
  <si>
    <t>Export (1-Way) - For Laden Cartons and Construction Materials</t>
  </si>
  <si>
    <t>Export (1-Way) - For Sacks and Bags Below 100kg</t>
  </si>
  <si>
    <t>Office</t>
  </si>
  <si>
    <t>Restaurant</t>
  </si>
  <si>
    <t>Transshipment (1-Way) - For Laden Cartons and Construction Materials</t>
  </si>
  <si>
    <t>Transshipment (1-Way) - For Sacks and Bags Below 100kg Except Rwandan Cement</t>
  </si>
  <si>
    <t>Truck Parking (Per 12 Hours)</t>
  </si>
  <si>
    <t>Wharfage (Barges not more than 60m LOA) - One Time Docking Charge</t>
  </si>
  <si>
    <t>Grand Total</t>
  </si>
  <si>
    <t>Advice</t>
  </si>
  <si>
    <t>Name</t>
  </si>
  <si>
    <t>Bank Ref No</t>
  </si>
  <si>
    <t>Tax Center</t>
  </si>
  <si>
    <t>Payment Date</t>
  </si>
  <si>
    <t>Amount</t>
  </si>
  <si>
    <t>Currency</t>
  </si>
  <si>
    <t>NSHIMYUMUREMYI FESTUS AUGUST RESTO</t>
  </si>
  <si>
    <t>AF82820</t>
  </si>
  <si>
    <t>Rubavu</t>
  </si>
  <si>
    <t>11-Sep-2025</t>
  </si>
  <si>
    <t>RWF</t>
  </si>
  <si>
    <t>AFRINEST ENGINEERING LTD   AUGUST PYT</t>
  </si>
  <si>
    <t>FTCM25252JH5RLUGJ</t>
  </si>
  <si>
    <t>09-Sep-2025</t>
  </si>
  <si>
    <t>NAVALIS MARITIME AGENCY LTD    AUGUST PYT</t>
  </si>
  <si>
    <t>FTCM25258RAAOLZVE</t>
  </si>
  <si>
    <t>15-Sep-2025</t>
  </si>
  <si>
    <t>sarah abdoul RAG812N</t>
  </si>
  <si>
    <t>FTCM25244Y3PIVZMR</t>
  </si>
  <si>
    <t>01-Sep-2025</t>
  </si>
  <si>
    <t>BEST TAIFA KDG169V</t>
  </si>
  <si>
    <t>FTCM25244LV6D9YEL</t>
  </si>
  <si>
    <t>FTCM25244X2WFBBSN</t>
  </si>
  <si>
    <t>BEST TAIFA</t>
  </si>
  <si>
    <t>FTCM252444QHIOUJU</t>
  </si>
  <si>
    <t>BEST TAIFA KND784W</t>
  </si>
  <si>
    <t>FTCM25244WNJU8ELV</t>
  </si>
  <si>
    <t>FTCM25244YLFRV627</t>
  </si>
  <si>
    <t>LA GLOIRE CONFIANCE TRADING RAH781U</t>
  </si>
  <si>
    <t>FTCM25245NGN1OWRV</t>
  </si>
  <si>
    <t>02-Sep-2025</t>
  </si>
  <si>
    <t>FTCM25245C8UIW1Z3</t>
  </si>
  <si>
    <t>LA GLOIRE CONFIANCE TRADING RAH787U</t>
  </si>
  <si>
    <t>FTCM25245RXBRM278</t>
  </si>
  <si>
    <t>FTCM252452NIHC1BA</t>
  </si>
  <si>
    <t>bahati jules ube384p</t>
  </si>
  <si>
    <t>FTCM25245GVGRP4WR</t>
  </si>
  <si>
    <t>FTCM252455AEMD2Y1</t>
  </si>
  <si>
    <t>LA GLOIRE CONFIANCE TRADING LTD  rah497r</t>
  </si>
  <si>
    <t>FTCM25245VROFY5CV</t>
  </si>
  <si>
    <t>LA GLOIRE CONFIANCE TRADING RAH497R</t>
  </si>
  <si>
    <t>FTCM25245IPNEGAWZ</t>
  </si>
  <si>
    <t>MADRAS MATERIALS RAF062L</t>
  </si>
  <si>
    <t>FTCM252469JOKDSPR</t>
  </si>
  <si>
    <t>03-Sep-2025</t>
  </si>
  <si>
    <t>FTCM252463WHAZMJF</t>
  </si>
  <si>
    <t>LA GLOIRE CONFIANCE TRADING RAH499R</t>
  </si>
  <si>
    <t>FTCM25246KXMRVOBK</t>
  </si>
  <si>
    <t>FTCM252469IBKHXME</t>
  </si>
  <si>
    <t>UMUTONI GENERAL TRADING RAA443J</t>
  </si>
  <si>
    <t>FTCM25246IVOQZB9L</t>
  </si>
  <si>
    <t>FTCM25246AAVAQSTF</t>
  </si>
  <si>
    <t>ROOFING ROLLING UBH566L</t>
  </si>
  <si>
    <t>FTCM25246YOMPRIUS</t>
  </si>
  <si>
    <t>FTCM25246ANWV0E9T</t>
  </si>
  <si>
    <t>MALINI WATU</t>
  </si>
  <si>
    <t>FTCM25246ROE5MHN8</t>
  </si>
  <si>
    <t>LA GLOIRE CONFIANCE RAI407D</t>
  </si>
  <si>
    <t>FTCM252473UAARYNT</t>
  </si>
  <si>
    <t>04-Sep-2025</t>
  </si>
  <si>
    <t>LA GLOIRE CONFIANCE</t>
  </si>
  <si>
    <t>FTCM25247ZE66U7RJ</t>
  </si>
  <si>
    <t>LA GLOIRE CONFIANCE RAI408D</t>
  </si>
  <si>
    <t>FTCM25247WSAPAEYQ</t>
  </si>
  <si>
    <t>FTCM25247ZFLFM4B2</t>
  </si>
  <si>
    <t>LA GLOIRE CONFIANCE TRADING RAG205P</t>
  </si>
  <si>
    <t>FTCM25247JKKMRACD</t>
  </si>
  <si>
    <t>FTCM25247VCTWSCCV</t>
  </si>
  <si>
    <t>arny star business RAI629A</t>
  </si>
  <si>
    <t>FTCM252471KTXOYOD</t>
  </si>
  <si>
    <t>FTCM25247V9C0USJU</t>
  </si>
  <si>
    <t>BAHATI JIRESSE MOSEKA</t>
  </si>
  <si>
    <t>FTCM252470V0GF6UB</t>
  </si>
  <si>
    <t>BAHATI JIRESSE MOSEKA     UBJ761P</t>
  </si>
  <si>
    <t>FTCM252479W5RCLHX</t>
  </si>
  <si>
    <t>LA PROMESSE</t>
  </si>
  <si>
    <t>FTCM25247HQDT0EYM</t>
  </si>
  <si>
    <t>FTCM25247L5I01BQF</t>
  </si>
  <si>
    <t>LA GLOIRE CONFIANCE TRADING RAE533D</t>
  </si>
  <si>
    <t>FTCM25248UBW6EHXZ</t>
  </si>
  <si>
    <t>05-Sep-2025</t>
  </si>
  <si>
    <t>FTCM2524800XETUJ9</t>
  </si>
  <si>
    <t>RUKOGO</t>
  </si>
  <si>
    <t>FTCM25248DANGDQHR</t>
  </si>
  <si>
    <t>RIJO COMPANY</t>
  </si>
  <si>
    <t>FTCM25249VLBNEMAJ</t>
  </si>
  <si>
    <t>06-Sep-2025</t>
  </si>
  <si>
    <t>FTCM25249WMWOCWKQ</t>
  </si>
  <si>
    <t>BEST TAIFA kdq455m</t>
  </si>
  <si>
    <t>FTCM25249MTL3HMYQ</t>
  </si>
  <si>
    <t>FTCM25249UHESYNRT</t>
  </si>
  <si>
    <t>KIGALI CERAMICS</t>
  </si>
  <si>
    <t>FTCM25249XTVM605J</t>
  </si>
  <si>
    <t>FTCM25249NG4D1UWO</t>
  </si>
  <si>
    <t>RWANDA SPECIAL MATERIALS RAI789N</t>
  </si>
  <si>
    <t>FTCM25250OH1GIDFX</t>
  </si>
  <si>
    <t>07-Sep-2025</t>
  </si>
  <si>
    <t>FTCM252504MBLSKTG</t>
  </si>
  <si>
    <t>MV EVA CLAIRE</t>
  </si>
  <si>
    <t>FTCM25250Q3PB1VFL</t>
  </si>
  <si>
    <t>LA GLOIRE CONFIANCE TRADING LTD RAH279q</t>
  </si>
  <si>
    <t>FTCM25250VPNCAJVQ</t>
  </si>
  <si>
    <t>FTCM25250SCAZ5IUP</t>
  </si>
  <si>
    <t>LA GLOIRE CONFIANCE TRADING LTD RAH442d</t>
  </si>
  <si>
    <t>FTCM25250MUDHP0AH</t>
  </si>
  <si>
    <t>FTCM2525057NBVB5G</t>
  </si>
  <si>
    <t>MV TUWOMBE MUNGU II</t>
  </si>
  <si>
    <t>FTCM25250HB5JZ2W9</t>
  </si>
  <si>
    <t>FTCM252502JESLAAT</t>
  </si>
  <si>
    <t xml:space="preserve"> byote binatoka kwa mungu</t>
  </si>
  <si>
    <t>FTCM25251LV92SVOH</t>
  </si>
  <si>
    <t>08-Sep-2025</t>
  </si>
  <si>
    <t>ingabire christine RAC024E</t>
  </si>
  <si>
    <t>FTCM25251A71WHTRY</t>
  </si>
  <si>
    <t>FTCM25251TLJMSXG9</t>
  </si>
  <si>
    <t>AMANI KWETU WOODEN BOAT</t>
  </si>
  <si>
    <t>FTCM25251NAZL0LWK</t>
  </si>
  <si>
    <t>iwawa RAC138I</t>
  </si>
  <si>
    <t>FTCM25251QENBR1UM</t>
  </si>
  <si>
    <t>iwawa RAg138I</t>
  </si>
  <si>
    <t>FTCM25251KJKQL6GT</t>
  </si>
  <si>
    <t>FTCM25251SEURGZ2W</t>
  </si>
  <si>
    <t>FTCM252511WSAGAP3</t>
  </si>
  <si>
    <t>STAR GENERAL SUPPLIERS RAF938U</t>
  </si>
  <si>
    <t>FTCM25252YI88V8HK</t>
  </si>
  <si>
    <t>FTCM25252RJ8JEJH9</t>
  </si>
  <si>
    <t>KAMUNTU WOODEN</t>
  </si>
  <si>
    <t>FTCM2525236YSBPUW</t>
  </si>
  <si>
    <t>CHANTAL RAF562C</t>
  </si>
  <si>
    <t>FTCM25253YJTLMXMJ</t>
  </si>
  <si>
    <t>10-Sep-2025</t>
  </si>
  <si>
    <t xml:space="preserve">CHANTAL </t>
  </si>
  <si>
    <t>FTCM25253GNBTC46T</t>
  </si>
  <si>
    <t>CHANTAL kamundu</t>
  </si>
  <si>
    <t>FTCM25253ANCTD3HC</t>
  </si>
  <si>
    <t>KRYSTALLINE LIMITED</t>
  </si>
  <si>
    <t>FTCM25253U2TAY345</t>
  </si>
  <si>
    <t>FTCM25253WOMUMEZX</t>
  </si>
  <si>
    <t>LA GLOIRE CONFIANCE RAI531M</t>
  </si>
  <si>
    <t>FTCM25254IASKPUPJ</t>
  </si>
  <si>
    <t>FTCM25254L6CBPS6E</t>
  </si>
  <si>
    <t>MPOWER STEEL COMPANY UBJ135Q</t>
  </si>
  <si>
    <t>FTCM25254FHPQLJON</t>
  </si>
  <si>
    <t>MPOWER STEEL COMPANY</t>
  </si>
  <si>
    <t>FTCM25254ESSUI4QS</t>
  </si>
  <si>
    <t>FTCM25256V9AKR5UH</t>
  </si>
  <si>
    <t>13-Sep-2025</t>
  </si>
  <si>
    <t>N and J TRADING HOUSE RAF499J</t>
  </si>
  <si>
    <t>FTCM25256QH3M2SIW</t>
  </si>
  <si>
    <t xml:space="preserve">N and J TRADING HOUSE </t>
  </si>
  <si>
    <t>FTCM25256AVI7XEZI</t>
  </si>
  <si>
    <t>HERITIER UA081AG</t>
  </si>
  <si>
    <t>FTCM25256BZ67VOPY</t>
  </si>
  <si>
    <t xml:space="preserve">HERITIER </t>
  </si>
  <si>
    <t>FTCM25256GJR6SGXH</t>
  </si>
  <si>
    <t>HERITIER SAHANI UA081AG</t>
  </si>
  <si>
    <t>FTCM2525776MJLEA9</t>
  </si>
  <si>
    <t>14-Sep-2025</t>
  </si>
  <si>
    <t>RWANDA SPECIAL MATERIALS RAH695K</t>
  </si>
  <si>
    <t>FTCM25257JIY9YIK1</t>
  </si>
  <si>
    <t>MADRAS MATERIAL RAH695K</t>
  </si>
  <si>
    <t>FTCM25257LXG4DETV</t>
  </si>
  <si>
    <t>STATION BELLE VIE RAE522H</t>
  </si>
  <si>
    <t>FTCM25257L3CJOL7D</t>
  </si>
  <si>
    <t>FTCM25257WUEARYCS</t>
  </si>
  <si>
    <t>MADRAS MATERIAL RAE463E</t>
  </si>
  <si>
    <t>FTCM25257N36YFP1E</t>
  </si>
  <si>
    <t>FTCM252579YWO15R6</t>
  </si>
  <si>
    <t>MISECORDE LA DIVINE</t>
  </si>
  <si>
    <t>FTCM25257IVDFOT5H</t>
  </si>
  <si>
    <t>MADRAS MATERIALS   RAE463E</t>
  </si>
  <si>
    <t>FTCM252586BKNQNBC</t>
  </si>
  <si>
    <t>ITH RAG950U</t>
  </si>
  <si>
    <t>FTCM252587EICK3MC</t>
  </si>
  <si>
    <t>ITH RAG930U</t>
  </si>
  <si>
    <t>FTCM25258XKSDC6LZ</t>
  </si>
  <si>
    <t>FTCM25258GGQ247TH</t>
  </si>
  <si>
    <t>FTCM25258G0LHW6UB</t>
  </si>
  <si>
    <t>MADRAS MATERIAL dufatanye</t>
  </si>
  <si>
    <t>FTCM25258OJDOQZOR</t>
  </si>
  <si>
    <t>CHUMVI SAFI RAD085A</t>
  </si>
  <si>
    <t>FTCM25258M9DFYWT3</t>
  </si>
  <si>
    <t>CHUMVI SAFI</t>
  </si>
  <si>
    <t>FTCM25258CIRHFF88</t>
  </si>
  <si>
    <t>BAHATI MOSEKA JIRESSE rai389a</t>
  </si>
  <si>
    <t>202509150242878</t>
  </si>
  <si>
    <t>BAHATI MOSEKA JIRESSE</t>
  </si>
  <si>
    <t>FTCM252588XZS52BP</t>
  </si>
  <si>
    <t>ITH RAC128B</t>
  </si>
  <si>
    <t>FTCM25259ZBPDDTQP</t>
  </si>
  <si>
    <t>16-Sep-2025</t>
  </si>
  <si>
    <t>FTCM252590R8MVQGN</t>
  </si>
  <si>
    <t>ITH RAE969Z</t>
  </si>
  <si>
    <t>FTCM25259X37QQRWP</t>
  </si>
  <si>
    <t>FTCM25259G2CRSUTX</t>
  </si>
  <si>
    <t>ITH  RAG930U</t>
  </si>
  <si>
    <t>FTCM25259US7KTJZI</t>
  </si>
  <si>
    <t>FTCM25259MZI7BRXR</t>
  </si>
  <si>
    <t>ITH RAC024E</t>
  </si>
  <si>
    <t>FTCM25259XXPU6PNJ</t>
  </si>
  <si>
    <t>FTCM25259A7EZGFXO</t>
  </si>
  <si>
    <t>FTCM25259IGC9PUXD</t>
  </si>
  <si>
    <t>FTCM25259KYOJMO6B</t>
  </si>
  <si>
    <t>ITH RAB334Z</t>
  </si>
  <si>
    <t>FTCM2525971SMH6Z8</t>
  </si>
  <si>
    <t>FTCM25259A6E0J0OB</t>
  </si>
  <si>
    <t>FTCM25259H5B07NSG</t>
  </si>
  <si>
    <t>FTCM252593EDBXOWF</t>
  </si>
  <si>
    <t>JACK RAD085A</t>
  </si>
  <si>
    <t>FTCM25259NH5BI7XP</t>
  </si>
  <si>
    <t>FTCM25259SYHG74WC</t>
  </si>
  <si>
    <t>DON NZIZA UBD430A</t>
  </si>
  <si>
    <t>FTCM25259OF7PYROA</t>
  </si>
  <si>
    <t>FTCM25259RUWGYH0O</t>
  </si>
  <si>
    <t>FTCM25259CAFC4IEB</t>
  </si>
  <si>
    <t>FTCM25259CQINTMQI</t>
  </si>
  <si>
    <t>MV LA PROMESSE</t>
  </si>
  <si>
    <t>FTCM25259X6WOKFU9</t>
  </si>
  <si>
    <t>FTCM25259HOUXIFHI</t>
  </si>
  <si>
    <t>FTCM25259AKIQDPTS</t>
  </si>
  <si>
    <t>FTCM25259UJCDE0RG</t>
  </si>
  <si>
    <t>BAZITEYE COMPANY T153DVR</t>
  </si>
  <si>
    <t>FTCM25259GCAI6XSC</t>
  </si>
  <si>
    <t>BAZITEYE COMPANY T167ECB</t>
  </si>
  <si>
    <t>FTCM25259701OJPWA</t>
  </si>
  <si>
    <t>FTCM25259RBAJCRPQ</t>
  </si>
  <si>
    <t>MISERCORDE DIVINE WOODEN BOAT</t>
  </si>
  <si>
    <t>FTCM25259N80IC6UT</t>
  </si>
  <si>
    <t>FTCM25259WPB8293A</t>
  </si>
  <si>
    <t>FTCM25259POS8RDIY</t>
  </si>
  <si>
    <t>FTCM25259FVJLCVHY</t>
  </si>
  <si>
    <t>FTCM25259MZ7D6EXV</t>
  </si>
  <si>
    <t>FTCM25259AI64YI78</t>
  </si>
  <si>
    <t>ITH TRADERS RAE969Z</t>
  </si>
  <si>
    <t>FTCM25260AZVZ0TMY</t>
  </si>
  <si>
    <t>17-Sep-2025</t>
  </si>
  <si>
    <t>ITH TRADERS LTD</t>
  </si>
  <si>
    <t>FTCM25260D0VABJRH</t>
  </si>
  <si>
    <t>FTCM25260DQXC4X9C</t>
  </si>
  <si>
    <t>ITH TRADERS LTD RAB834Z</t>
  </si>
  <si>
    <t>FTCM25260OJM9PEUF</t>
  </si>
  <si>
    <t>FTCM252609QG7SC8M</t>
  </si>
  <si>
    <t>FTCM25260KMC5AJRU</t>
  </si>
  <si>
    <t>ITH TRADERS LTD RAE969Z</t>
  </si>
  <si>
    <t>FTCM25260GD1JLW5E</t>
  </si>
  <si>
    <t>FTCM25260DR2UVSQR</t>
  </si>
  <si>
    <t>BARAKA WOODEN BOAT</t>
  </si>
  <si>
    <t>FTCM25260VBA4PWHZ</t>
  </si>
  <si>
    <t>FTCM25261DDKHEWV6</t>
  </si>
  <si>
    <t>18-Sep-2025</t>
  </si>
  <si>
    <t>FTCM25261UDNHFWQ0</t>
  </si>
  <si>
    <t>FTCM252613FR4O1XT</t>
  </si>
  <si>
    <t xml:space="preserve"> TOGETHER BULDING ALIMINIUM</t>
  </si>
  <si>
    <t>FTCM252613PISULGG</t>
  </si>
  <si>
    <t>BUGUMA</t>
  </si>
  <si>
    <t>FTCM252613VJHV4DE</t>
  </si>
  <si>
    <t>FTCM25261T7MM66OC</t>
  </si>
  <si>
    <t>FTCM25261RNLZX3NK</t>
  </si>
  <si>
    <t>LUKOGO</t>
  </si>
  <si>
    <t>FTCM25261STSFRJLY</t>
  </si>
  <si>
    <t>ITH TRADERS RAC024E</t>
  </si>
  <si>
    <t>FTCM25261HEQ9FJOA</t>
  </si>
  <si>
    <t>ITH TRADERS</t>
  </si>
  <si>
    <t>FTCM25261PVIM9VMT</t>
  </si>
  <si>
    <t>BEST TAIFA RAG201M</t>
  </si>
  <si>
    <t>FTCM25263QQM79IRJ</t>
  </si>
  <si>
    <t>20-Sep-2025</t>
  </si>
  <si>
    <t>FTCM25263PHBTYQVJ</t>
  </si>
  <si>
    <t>BEST TAIFA F1910A</t>
  </si>
  <si>
    <t>FTCM25263AE3XWQBS</t>
  </si>
  <si>
    <t>FTCM25263JGABVY3D</t>
  </si>
  <si>
    <t>bahati jules rac605e</t>
  </si>
  <si>
    <t>FTCM25263BI6LRDXE</t>
  </si>
  <si>
    <t>FTCM25263FFF48PWI</t>
  </si>
  <si>
    <t>BEST TAIFA h8958a</t>
  </si>
  <si>
    <t>FTCM25263BDHJ9RVL</t>
  </si>
  <si>
    <t>FTCM25263ORBFC7OB</t>
  </si>
  <si>
    <t>FTCM25264EDBIRTUC</t>
  </si>
  <si>
    <t>21-Sep-2025</t>
  </si>
  <si>
    <t>FTCM25264EVODEVME</t>
  </si>
  <si>
    <t>SARAH ABDOUL</t>
  </si>
  <si>
    <t>FTCM25264HQITS88N</t>
  </si>
  <si>
    <t>FTCM25264ARZ46RRG</t>
  </si>
  <si>
    <t>LA GLOIRE CONFIANCE TRADING RAH494R</t>
  </si>
  <si>
    <t>FTCM25264R3BGIN6I</t>
  </si>
  <si>
    <t>FTCM252647I88NE77</t>
  </si>
  <si>
    <t>MUSAFIRI RAI948Z</t>
  </si>
  <si>
    <t>FTCM252650EEKVNVT</t>
  </si>
  <si>
    <t>22-Sep-2025</t>
  </si>
  <si>
    <t>MUSAFIRI ANGLEBERT 2</t>
  </si>
  <si>
    <t>FTCM25265HSLVEWT5</t>
  </si>
  <si>
    <t>MUSAFIRI</t>
  </si>
  <si>
    <t>FTCM25265FLG9WTPU</t>
  </si>
  <si>
    <t>FTCM25265AXKSPRIP</t>
  </si>
  <si>
    <t>FTCM25265PXIG6OKV</t>
  </si>
  <si>
    <t>GAHUNGU BUSINESS RAF715Z</t>
  </si>
  <si>
    <t>FTCM25266UV2CMIJM</t>
  </si>
  <si>
    <t>23-Sep-2025</t>
  </si>
  <si>
    <t>FTCM252669WQHBW5F</t>
  </si>
  <si>
    <t>SARAH ABDOUL RAf923x</t>
  </si>
  <si>
    <t>FTCM25266MRXAHVCF</t>
  </si>
  <si>
    <t>FTCM25266PYHE45ZV</t>
  </si>
  <si>
    <t>NYYVO BUSINESS</t>
  </si>
  <si>
    <t>FTCM25266TWN3JXF7</t>
  </si>
  <si>
    <t>FTCM25266S0VCUFSA</t>
  </si>
  <si>
    <t>COOPERATIVE INGUNGURU TWITEZIMBERE  BARAKA WOODEN BOAT</t>
  </si>
  <si>
    <t>FTCM25266RLKTZHOX</t>
  </si>
  <si>
    <t>NYVVO BUSINESS RAG948H</t>
  </si>
  <si>
    <t>FTCM25266TQXQCMMA</t>
  </si>
  <si>
    <t>MADRAS MATERIALS RAB978J</t>
  </si>
  <si>
    <t>FTCM25267RQWXHVED</t>
  </si>
  <si>
    <t>24-Sep-2025</t>
  </si>
  <si>
    <t>FTCM25267VBJWOTZQ</t>
  </si>
  <si>
    <t>NYYVO BUSINESS RAD085E</t>
  </si>
  <si>
    <t>FTCM25267EEFRBEXO</t>
  </si>
  <si>
    <t>FTCM25267RJQY8FOH</t>
  </si>
  <si>
    <t>FTCM25268QOZ5EHHI</t>
  </si>
  <si>
    <t>25-Sep-2025</t>
  </si>
  <si>
    <t>FTCM25268ENZAYFBB</t>
  </si>
  <si>
    <t>MUGISHO BALIBUNO</t>
  </si>
  <si>
    <t>FTCM25268XOZIKMYB</t>
  </si>
  <si>
    <t>FTCM252684ZYJLD9P</t>
  </si>
  <si>
    <t>FTCM25268FL0HB9MT</t>
  </si>
  <si>
    <t>FTCM25268P3L8TFNS</t>
  </si>
  <si>
    <t>DYLAN HARDWARE RAH386G</t>
  </si>
  <si>
    <t>FTCM25269UA5WNGCN</t>
  </si>
  <si>
    <t>26-Sep-2025</t>
  </si>
  <si>
    <t>DYLAN HARDWARE</t>
  </si>
  <si>
    <t>FTCM25269VX1DLSRP</t>
  </si>
  <si>
    <t>DYLAN HARDWARE BUGOMA COMPANY</t>
  </si>
  <si>
    <t>FTCM25269OFSWW2HT</t>
  </si>
  <si>
    <t>RIJO COMPANY  CGO7683AF19</t>
  </si>
  <si>
    <t>FTCM25269LERRSRYN</t>
  </si>
  <si>
    <t>FTCM252695IJA8JDC</t>
  </si>
  <si>
    <t>FTCM25269QTI5ANNA</t>
  </si>
  <si>
    <t>FTCM25271FKRYRSGD</t>
  </si>
  <si>
    <t>28-Sep-2025</t>
  </si>
  <si>
    <t>FTCM252716GUR9J13</t>
  </si>
  <si>
    <t>FTCM25271Q2L74RYV</t>
  </si>
  <si>
    <t>FTCM25271VWAUAVYG</t>
  </si>
  <si>
    <t>FTCM25271MGRGANKD</t>
  </si>
  <si>
    <t>FTCM25271VIVHPXJ9</t>
  </si>
  <si>
    <t>FTCM252721C2YBJQJ</t>
  </si>
  <si>
    <t>29-Sep-2025</t>
  </si>
  <si>
    <t>FTCM25272KZKNR5FN</t>
  </si>
  <si>
    <t>FTCM25272QLMUWUUH</t>
  </si>
  <si>
    <t>FTCM25272OWSKWMLX</t>
  </si>
  <si>
    <t>ITH TRADERS RAC128B</t>
  </si>
  <si>
    <t>FTCM25272B9RT5OSD</t>
  </si>
  <si>
    <t>FTCM252721T1XGPVS</t>
  </si>
  <si>
    <t>FTCM25272AOTYRFVU</t>
  </si>
  <si>
    <t>FTCM25272YIUZYCWW</t>
  </si>
  <si>
    <t>M V TUWOMBE MUNGU II</t>
  </si>
  <si>
    <t>FTCM25272B1RNBTHD</t>
  </si>
  <si>
    <t>FTCM25272ABMFPJC1</t>
  </si>
  <si>
    <t>LA GLOIRE CONFIANCE           RAH787U</t>
  </si>
  <si>
    <t>FTCM252726WU9EBFI</t>
  </si>
  <si>
    <t>FTCM25272KUIHHYC6</t>
  </si>
  <si>
    <t>RIJO COMPANY CGO7683AF19</t>
  </si>
  <si>
    <t>FTCM25272GDKVNGR8</t>
  </si>
  <si>
    <t>SAMUEL NATHAN CGO7130AA02</t>
  </si>
  <si>
    <t>FTCM25272XX4NLMXI</t>
  </si>
  <si>
    <t>SAMUEL NATHAN</t>
  </si>
  <si>
    <t>FTCM252724WGPUFRM</t>
  </si>
  <si>
    <t>CHUMVI SALT RAC268X</t>
  </si>
  <si>
    <t>FTCM25272IJBPMJXY</t>
  </si>
  <si>
    <t>CHUMVI SALT</t>
  </si>
  <si>
    <t>FTCM252723VXBBFG0</t>
  </si>
  <si>
    <t>FTCM25272J6FJEB2Q</t>
  </si>
  <si>
    <t>ITH TRADERS   RAE969Z</t>
  </si>
  <si>
    <t>FTCM25272LRJE33GU</t>
  </si>
  <si>
    <t>FTCM25272FP0UZGW8</t>
  </si>
  <si>
    <t>FTCM25273FGO1ERLM</t>
  </si>
  <si>
    <t>30-Sep-2025</t>
  </si>
  <si>
    <t>FTCM25273GTZPWQHR</t>
  </si>
  <si>
    <t>FTCM25273SXUXRMOM</t>
  </si>
  <si>
    <t>FTCM25273ZP6FWAYQ</t>
  </si>
  <si>
    <t>FTCM25273QLHQFS24</t>
  </si>
  <si>
    <t>FTCM25273JOTFETMW</t>
  </si>
  <si>
    <t>FTCM252730SUOVSE2</t>
  </si>
  <si>
    <t>FTCM25273LWTXHTWJ</t>
  </si>
  <si>
    <t>FTCM25273IETDYOBH</t>
  </si>
  <si>
    <t>PLASMACO LTD</t>
  </si>
  <si>
    <t>FTCM252731FILENDB</t>
  </si>
  <si>
    <t>ITH</t>
  </si>
  <si>
    <t>FTCM25273IFKJIHCK</t>
  </si>
  <si>
    <t>N and J TRADING HOUSE COMPANY RAF499J</t>
  </si>
  <si>
    <t>FTCM25273FCQLLFOH</t>
  </si>
  <si>
    <t>FTCM25273EEFWPTKX</t>
  </si>
  <si>
    <t>FTCM25273G52O5XGE</t>
  </si>
  <si>
    <t>FTCM25273JMX4DPEZ</t>
  </si>
  <si>
    <t>AMANI KWETU</t>
  </si>
  <si>
    <t>FTCM25273XEATWEGI</t>
  </si>
  <si>
    <t>NYYVO BUSINESS RAE209W</t>
  </si>
  <si>
    <t>FTCM25273HTWT9AMK</t>
  </si>
  <si>
    <t>FTCM252734PBFS0DA</t>
  </si>
  <si>
    <t>FTCM25273JKHYNE2U</t>
  </si>
  <si>
    <t>FTCM25273AXNU0UPK</t>
  </si>
  <si>
    <t>LA GLOIRE CONFIANCE RAH787U</t>
  </si>
  <si>
    <t>FTCM25273ITYLPE0P</t>
  </si>
  <si>
    <t>FTCM25273BONCGE6H</t>
  </si>
  <si>
    <t>FTCM25273WQAJKJRN</t>
  </si>
  <si>
    <t>FTCM25273QEWGJGAN</t>
  </si>
  <si>
    <t>FTCM252731UWBJNCQ</t>
  </si>
  <si>
    <t>UA BETTER COMPANY RAE710F</t>
  </si>
  <si>
    <t>FTCM25273EKJDJJ4V</t>
  </si>
  <si>
    <t>FTCM25273Q0QFF47B</t>
  </si>
  <si>
    <t>UA BETTER COMPANY RAB352U</t>
  </si>
  <si>
    <t>FTCM25273CYGUP8FN</t>
  </si>
  <si>
    <t>FTCM25273PF1QPNRQ</t>
  </si>
  <si>
    <t>Total RWF Amount</t>
  </si>
  <si>
    <t>5,802,156</t>
  </si>
  <si>
    <t>Source</t>
  </si>
  <si>
    <t>Sum of Amount (RWF)</t>
  </si>
  <si>
    <t>ADDITIONAL CHARGES</t>
  </si>
  <si>
    <t>Berthing</t>
  </si>
  <si>
    <t>Ops</t>
  </si>
  <si>
    <t>Other Revenues</t>
  </si>
  <si>
    <t>Truck</t>
  </si>
  <si>
    <t>Date</t>
  </si>
  <si>
    <t>Client Name</t>
  </si>
  <si>
    <t>Description</t>
  </si>
  <si>
    <t>Amount (RWF)</t>
  </si>
  <si>
    <t>09/01/2025, 13:28:09</t>
  </si>
  <si>
    <t>RAG812N</t>
  </si>
  <si>
    <t>66475394</t>
  </si>
  <si>
    <t>09/01/2025, 13:31:05</t>
  </si>
  <si>
    <t>KDG169V</t>
  </si>
  <si>
    <t>66475412</t>
  </si>
  <si>
    <t>09/01/2025, 13:36:42</t>
  </si>
  <si>
    <t>66475414</t>
  </si>
  <si>
    <t>09/01/2025, 13:47:40</t>
  </si>
  <si>
    <t>66475420</t>
  </si>
  <si>
    <t>09/01/2025, 13:49:25</t>
  </si>
  <si>
    <t>KND784W</t>
  </si>
  <si>
    <t>66475445</t>
  </si>
  <si>
    <t>09/01/2025, 13:55:05</t>
  </si>
  <si>
    <t>66475447</t>
  </si>
  <si>
    <t>09/02/2025, 11:00:33</t>
  </si>
  <si>
    <t>RAH781U</t>
  </si>
  <si>
    <t>66476505</t>
  </si>
  <si>
    <t>09/02/2025, 11:11:41</t>
  </si>
  <si>
    <t xml:space="preserve"> 66476517</t>
  </si>
  <si>
    <t>09/02/2025, 11:13:03</t>
  </si>
  <si>
    <t>RAH787U</t>
  </si>
  <si>
    <t>66476531</t>
  </si>
  <si>
    <t>09/02/2025, 11:26:27</t>
  </si>
  <si>
    <t>66476543</t>
  </si>
  <si>
    <t>09/02/2025, 14:55:36</t>
  </si>
  <si>
    <t>UBE384P</t>
  </si>
  <si>
    <t>66476927</t>
  </si>
  <si>
    <t>09/02/2025, 15:05:28</t>
  </si>
  <si>
    <t>BAHATI JULES</t>
  </si>
  <si>
    <t>66476940</t>
  </si>
  <si>
    <t>09/02/2025, 15:08:15</t>
  </si>
  <si>
    <t>RAH497R</t>
  </si>
  <si>
    <t>66476945</t>
  </si>
  <si>
    <t>09/02/2025, 15:17:47</t>
  </si>
  <si>
    <t>LA GLOIRE CONFIANCE TRADING</t>
  </si>
  <si>
    <t>66476969</t>
  </si>
  <si>
    <t>09/03/2025, 11:24:26</t>
  </si>
  <si>
    <t>RAF062L</t>
  </si>
  <si>
    <t>66478073</t>
  </si>
  <si>
    <t>09/03/2025, 11:34:33</t>
  </si>
  <si>
    <t>RAH499R</t>
  </si>
  <si>
    <t>66478189</t>
  </si>
  <si>
    <t>09/03/2025, 11:39:05</t>
  </si>
  <si>
    <t>MADRAS MATERIALS</t>
  </si>
  <si>
    <t>66478109</t>
  </si>
  <si>
    <t>09/03/2025, 11:44:54</t>
  </si>
  <si>
    <t>66478214</t>
  </si>
  <si>
    <t>09/03/2025, 13:43:19</t>
  </si>
  <si>
    <t>RAA443J</t>
  </si>
  <si>
    <t>66478329</t>
  </si>
  <si>
    <t>09/03/2025, 13:49:31</t>
  </si>
  <si>
    <t>UMUTONI GENERAL TRADING</t>
  </si>
  <si>
    <t>66478337</t>
  </si>
  <si>
    <t>09/03/2025, 13:56:14</t>
  </si>
  <si>
    <t>UBH566L</t>
  </si>
  <si>
    <t>66478351</t>
  </si>
  <si>
    <t>09/03/2025, 14:04:03</t>
  </si>
  <si>
    <t>ROOFING ROLLING</t>
  </si>
  <si>
    <t>66478367</t>
  </si>
  <si>
    <t>09/03/2025, 14:19:20</t>
  </si>
  <si>
    <t>66478405</t>
  </si>
  <si>
    <t>09/03/2025, 14:54:01</t>
  </si>
  <si>
    <t>66478093</t>
  </si>
  <si>
    <t>09/04/2025, 12:10:37</t>
  </si>
  <si>
    <t>RAG205P</t>
  </si>
  <si>
    <t xml:space="preserve"> 66479621</t>
  </si>
  <si>
    <t>09/04/2025, 12:19:30</t>
  </si>
  <si>
    <t>RAI407D</t>
  </si>
  <si>
    <t>66479573</t>
  </si>
  <si>
    <t>09/04/2025, 12:20:01</t>
  </si>
  <si>
    <t>RAI408D</t>
  </si>
  <si>
    <t>66479584</t>
  </si>
  <si>
    <t>09/04/2025, 12:51:02</t>
  </si>
  <si>
    <t>66479681</t>
  </si>
  <si>
    <t>09/04/2025, 13:01:48</t>
  </si>
  <si>
    <t>RAI629A</t>
  </si>
  <si>
    <t>66479713</t>
  </si>
  <si>
    <t>09/04/2025, 13:22:14</t>
  </si>
  <si>
    <t>ARNY STAR BUSINESS</t>
  </si>
  <si>
    <t xml:space="preserve"> 66479737</t>
  </si>
  <si>
    <t>09/04/2025, 13:59:51</t>
  </si>
  <si>
    <t>66479578</t>
  </si>
  <si>
    <t>09/04/2025, 14:05:05</t>
  </si>
  <si>
    <t>66479588</t>
  </si>
  <si>
    <t>09/04/2025, 14:08:10</t>
  </si>
  <si>
    <t>66479829</t>
  </si>
  <si>
    <t>09/04/2025, 14:13:46</t>
  </si>
  <si>
    <t>UBJ761P</t>
  </si>
  <si>
    <t>66479834</t>
  </si>
  <si>
    <t>09/04/2025, 14:46:47</t>
  </si>
  <si>
    <t>66479888
66479886</t>
  </si>
  <si>
    <t>09/05/2025, 08:50:07</t>
  </si>
  <si>
    <t>RAE533D</t>
  </si>
  <si>
    <t>66480668</t>
  </si>
  <si>
    <t>09/05/2025, 08:56:58</t>
  </si>
  <si>
    <t>66480680</t>
  </si>
  <si>
    <t>09/05/2025, 22:00:00</t>
  </si>
  <si>
    <t>JIRESSE</t>
  </si>
  <si>
    <t>66407202</t>
  </si>
  <si>
    <t>66407594</t>
  </si>
  <si>
    <t>QUINCAILLERIE YACU</t>
  </si>
  <si>
    <t>66407622</t>
  </si>
  <si>
    <t>66482349</t>
  </si>
  <si>
    <t>66482345</t>
  </si>
  <si>
    <t>KIGALI CERAMICS Ltd</t>
  </si>
  <si>
    <t>66482373</t>
  </si>
  <si>
    <t>09/06/2025, 14:19:00</t>
  </si>
  <si>
    <t>KDQ455M</t>
  </si>
  <si>
    <t>66482347</t>
  </si>
  <si>
    <t>09/06/2025, 22:00:00</t>
  </si>
  <si>
    <t>MEGA TWITEZIMBERE</t>
  </si>
  <si>
    <t>66407265</t>
  </si>
  <si>
    <t>chantal uwineza</t>
  </si>
  <si>
    <t>66407607</t>
  </si>
  <si>
    <t>66482970</t>
  </si>
  <si>
    <t>66482967</t>
  </si>
  <si>
    <t>09/07/2025, 10:10:00</t>
  </si>
  <si>
    <t>RAI789N</t>
  </si>
  <si>
    <t>66482902</t>
  </si>
  <si>
    <t>09/07/2025, 11:02:00</t>
  </si>
  <si>
    <t>RAH279Q</t>
  </si>
  <si>
    <t>66482966</t>
  </si>
  <si>
    <t>09/07/2025, 12:00:00</t>
  </si>
  <si>
    <t>RAH442D</t>
  </si>
  <si>
    <t>66482968</t>
  </si>
  <si>
    <t>09/07/2025, 22:00:00</t>
  </si>
  <si>
    <t>NOAH AND CLOUDE</t>
  </si>
  <si>
    <t>66483624</t>
  </si>
  <si>
    <t>ith</t>
  </si>
  <si>
    <t>66407681</t>
  </si>
  <si>
    <t>umutoni general trading</t>
  </si>
  <si>
    <t>66407715</t>
  </si>
  <si>
    <t>KAYENZI SHOP</t>
  </si>
  <si>
    <t>66407824</t>
  </si>
  <si>
    <t>INGABIRE GENERAL</t>
  </si>
  <si>
    <t>66484351</t>
  </si>
  <si>
    <t>IWAWA</t>
  </si>
  <si>
    <t>66484102</t>
  </si>
  <si>
    <t>09/08/2025, 08:09:00</t>
  </si>
  <si>
    <t>BYOTE BINATOKA KWA MUNGU</t>
  </si>
  <si>
    <t>66483607</t>
  </si>
  <si>
    <t>RAC024E</t>
  </si>
  <si>
    <t>66483620</t>
  </si>
  <si>
    <t>09/08/2025, 12:09:00</t>
  </si>
  <si>
    <t>RAC138I</t>
  </si>
  <si>
    <t>66484097</t>
  </si>
  <si>
    <t>09/08/2025, 14:09:00</t>
  </si>
  <si>
    <t>66484343</t>
  </si>
  <si>
    <t>09/08/2025, 14:10:00</t>
  </si>
  <si>
    <t>66483749</t>
  </si>
  <si>
    <t>09/08/2025, 22:00:00</t>
  </si>
  <si>
    <t>66407796</t>
  </si>
  <si>
    <t>STAR GENERAL SUPPLIERS</t>
  </si>
  <si>
    <t>66485485</t>
  </si>
  <si>
    <t>09/09/2025, 13:09:00</t>
  </si>
  <si>
    <t>KAMUNTU</t>
  </si>
  <si>
    <t>66485627</t>
  </si>
  <si>
    <t>09/09/2025, 22:00:00</t>
  </si>
  <si>
    <t>66407918</t>
  </si>
  <si>
    <t>66407948</t>
  </si>
  <si>
    <t>CHANTAL</t>
  </si>
  <si>
    <t>66486540</t>
  </si>
  <si>
    <t>KRYSTALLINE SALT LIMETED</t>
  </si>
  <si>
    <t>66486808</t>
  </si>
  <si>
    <t>09/10/2025, 09:55:00</t>
  </si>
  <si>
    <t>RAF562C</t>
  </si>
  <si>
    <t>66486538</t>
  </si>
  <si>
    <t>09/10/2025, 09:58:00</t>
  </si>
  <si>
    <t>KAMUNDU</t>
  </si>
  <si>
    <t>66486545</t>
  </si>
  <si>
    <t>09/10/2025, 12:09:00</t>
  </si>
  <si>
    <t>RAF923X</t>
  </si>
  <si>
    <t>66491244</t>
  </si>
  <si>
    <t>09/10/2025, 22:00:00</t>
  </si>
  <si>
    <t xml:space="preserve"> 66408005</t>
  </si>
  <si>
    <t>66408065</t>
  </si>
  <si>
    <t>66488071</t>
  </si>
  <si>
    <t>66488037</t>
  </si>
  <si>
    <t>09/11/2025, 10:01:00</t>
  </si>
  <si>
    <t>RAI531M</t>
  </si>
  <si>
    <t>66487984</t>
  </si>
  <si>
    <t>09/11/2025, 10:52:00</t>
  </si>
  <si>
    <t>UBJ135Q</t>
  </si>
  <si>
    <t>66488066</t>
  </si>
  <si>
    <t>09/12/2025, 22:00:00</t>
  </si>
  <si>
    <t>bahati jiresse moseka</t>
  </si>
  <si>
    <t>66408019</t>
  </si>
  <si>
    <t>BAKHRESA GRAIN MILLING</t>
  </si>
  <si>
    <t>66408071</t>
  </si>
  <si>
    <t xml:space="preserve"> 66408472</t>
  </si>
  <si>
    <t>N &amp; J TRADING HOUSE COMPANY</t>
  </si>
  <si>
    <t>66491247</t>
  </si>
  <si>
    <t>66490836</t>
  </si>
  <si>
    <t>HERITIER SAHANI</t>
  </si>
  <si>
    <t>66491289</t>
  </si>
  <si>
    <t>09/13/2025, 15:54:00</t>
  </si>
  <si>
    <t>RAF499J</t>
  </si>
  <si>
    <t>66486814</t>
  </si>
  <si>
    <t>09/13/2025, 16:09:00</t>
  </si>
  <si>
    <t>UA081AG</t>
  </si>
  <si>
    <t>66491269</t>
  </si>
  <si>
    <t>09/13/2025, 22:00:00</t>
  </si>
  <si>
    <t>66408497</t>
  </si>
  <si>
    <t>66408590</t>
  </si>
  <si>
    <t>66408790</t>
  </si>
  <si>
    <t>66491712</t>
  </si>
  <si>
    <t>66491831</t>
  </si>
  <si>
    <t>STATION BELLE VIE</t>
  </si>
  <si>
    <t>66491820</t>
  </si>
  <si>
    <t>09/14/2025, 09:09:00</t>
  </si>
  <si>
    <t>RAH695K</t>
  </si>
  <si>
    <t>66491701</t>
  </si>
  <si>
    <t>66491671</t>
  </si>
  <si>
    <t>09/14/2025, 11:26:00</t>
  </si>
  <si>
    <t>RAE463E</t>
  </si>
  <si>
    <t>66491828</t>
  </si>
  <si>
    <t>09/14/2025, 13:09:00</t>
  </si>
  <si>
    <t>RAE522H</t>
  </si>
  <si>
    <t>66491814</t>
  </si>
  <si>
    <t>MISERCORDE LA DIVINE</t>
  </si>
  <si>
    <t>66491936</t>
  </si>
  <si>
    <t>09/14/2025, 22:00:00</t>
  </si>
  <si>
    <t>66408863</t>
  </si>
  <si>
    <t>la gloire confiance trading</t>
  </si>
  <si>
    <t>66408902</t>
  </si>
  <si>
    <t>66409451</t>
  </si>
  <si>
    <t>TRIDUM COMPANY</t>
  </si>
  <si>
    <t xml:space="preserve"> 66409475</t>
  </si>
  <si>
    <t>66409497</t>
  </si>
  <si>
    <t>66492974</t>
  </si>
  <si>
    <t>66492977</t>
  </si>
  <si>
    <t>66492809</t>
  </si>
  <si>
    <t>66493432</t>
  </si>
  <si>
    <t>66493392</t>
  </si>
  <si>
    <t>09/15/2025, 11:09:00</t>
  </si>
  <si>
    <t>RAG950U</t>
  </si>
  <si>
    <t>66492965</t>
  </si>
  <si>
    <t>09/15/2025, 11:10:00</t>
  </si>
  <si>
    <t>RAG930U</t>
  </si>
  <si>
    <t>66492970</t>
  </si>
  <si>
    <t>09/15/2025, 15:10:00</t>
  </si>
  <si>
    <t>RAD085A</t>
  </si>
  <si>
    <t>66493390</t>
  </si>
  <si>
    <t>09/15/2025, 15:32:00</t>
  </si>
  <si>
    <t>RAI389A</t>
  </si>
  <si>
    <t>66493427</t>
  </si>
  <si>
    <t>09/15/2025, 22:00:00</t>
  </si>
  <si>
    <t>tridum company</t>
  </si>
  <si>
    <t>66409573</t>
  </si>
  <si>
    <t>66410197</t>
  </si>
  <si>
    <t>66410284</t>
  </si>
  <si>
    <t>66410467</t>
  </si>
  <si>
    <t>66410504</t>
  </si>
  <si>
    <t>66410659</t>
  </si>
  <si>
    <t>UMUTONI GENERAL</t>
  </si>
  <si>
    <t>66410775</t>
  </si>
  <si>
    <t>66410853</t>
  </si>
  <si>
    <t>66411247</t>
  </si>
  <si>
    <t>66411500</t>
  </si>
  <si>
    <t>66411563</t>
  </si>
  <si>
    <t>nyota shop</t>
  </si>
  <si>
    <t>66411670</t>
  </si>
  <si>
    <t>RAYMOND BIKAMI</t>
  </si>
  <si>
    <t>66411698</t>
  </si>
  <si>
    <t>66411706</t>
  </si>
  <si>
    <t>66411785</t>
  </si>
  <si>
    <t>66494635</t>
  </si>
  <si>
    <t>66494698</t>
  </si>
  <si>
    <t>66493856</t>
  </si>
  <si>
    <t>66494118</t>
  </si>
  <si>
    <t>66493894</t>
  </si>
  <si>
    <t>66494128</t>
  </si>
  <si>
    <t>66493872</t>
  </si>
  <si>
    <t>66493831</t>
  </si>
  <si>
    <t>66493851</t>
  </si>
  <si>
    <t>66494248</t>
  </si>
  <si>
    <t>66494164</t>
  </si>
  <si>
    <t>DON NZIZA</t>
  </si>
  <si>
    <t>66494168</t>
  </si>
  <si>
    <t>JACK</t>
  </si>
  <si>
    <t>66494142</t>
  </si>
  <si>
    <t>BAZITEYE COMPANY</t>
  </si>
  <si>
    <t>66494447</t>
  </si>
  <si>
    <t>66494491</t>
  </si>
  <si>
    <t>09/16/2025, 06:09:00</t>
  </si>
  <si>
    <t>RAC128B</t>
  </si>
  <si>
    <t>66493829</t>
  </si>
  <si>
    <t>09/16/2025, 06:34:00</t>
  </si>
  <si>
    <t>RAE969Z</t>
  </si>
  <si>
    <t>66493845</t>
  </si>
  <si>
    <t>09/16/2025, 06:39:00</t>
  </si>
  <si>
    <t>66493854</t>
  </si>
  <si>
    <t>66494162</t>
  </si>
  <si>
    <t>09/16/2025, 06:48:00</t>
  </si>
  <si>
    <t>66493868</t>
  </si>
  <si>
    <t>09/16/2025, 07:03:00</t>
  </si>
  <si>
    <t>66493887</t>
  </si>
  <si>
    <t>09/16/2025, 09:01:00</t>
  </si>
  <si>
    <t>RAB334Z</t>
  </si>
  <si>
    <t>66494111</t>
  </si>
  <si>
    <t>UBD430A</t>
  </si>
  <si>
    <t>66494156</t>
  </si>
  <si>
    <t>09/16/2025, 09:12:00</t>
  </si>
  <si>
    <t>66494136</t>
  </si>
  <si>
    <t>09/16/2025, 09:30:00</t>
  </si>
  <si>
    <t>66494117</t>
  </si>
  <si>
    <t>09/16/2025, 10:30:00</t>
  </si>
  <si>
    <t>66494244</t>
  </si>
  <si>
    <t>09/16/2025, 12:09:00</t>
  </si>
  <si>
    <t xml:space="preserve">MISECRORDE DIVINE </t>
  </si>
  <si>
    <t>66494544</t>
  </si>
  <si>
    <t>T153DVR</t>
  </si>
  <si>
    <t>66494432</t>
  </si>
  <si>
    <t>09/16/2025, 12:10:00</t>
  </si>
  <si>
    <t>T167ECB</t>
  </si>
  <si>
    <t>66494481</t>
  </si>
  <si>
    <t>09/16/2025, 13:29:00</t>
  </si>
  <si>
    <t>66494633</t>
  </si>
  <si>
    <t>09/16/2025, 14:07:00</t>
  </si>
  <si>
    <t>66494694</t>
  </si>
  <si>
    <t>09/16/2025, 14:52:00</t>
  </si>
  <si>
    <t>DUFATANYE</t>
  </si>
  <si>
    <t>66493365</t>
  </si>
  <si>
    <t>09/16/2025, 22:00:00</t>
  </si>
  <si>
    <t>RAYMOND BIKONO</t>
  </si>
  <si>
    <t>66411802</t>
  </si>
  <si>
    <t>66411878</t>
  </si>
  <si>
    <t>66411988</t>
  </si>
  <si>
    <t>IGETRA</t>
  </si>
  <si>
    <t>66412863</t>
  </si>
  <si>
    <t>66495890</t>
  </si>
  <si>
    <t>66495319</t>
  </si>
  <si>
    <t>66496158</t>
  </si>
  <si>
    <t>66495317</t>
  </si>
  <si>
    <t>09/17/2025, 07:37:00</t>
  </si>
  <si>
    <t>66495313</t>
  </si>
  <si>
    <t>09/17/2025, 07:44:00</t>
  </si>
  <si>
    <t>RAB834Z</t>
  </si>
  <si>
    <t>66495328</t>
  </si>
  <si>
    <t>09/17/2025, 11:06:00</t>
  </si>
  <si>
    <t>66495884</t>
  </si>
  <si>
    <t>09/17/2025, 13:09:00</t>
  </si>
  <si>
    <t>BARAKA</t>
  </si>
  <si>
    <t>66497035, 66496182</t>
  </si>
  <si>
    <t>09/17/2025, 13:21:00</t>
  </si>
  <si>
    <t>66494691</t>
  </si>
  <si>
    <t>66496156</t>
  </si>
  <si>
    <t>09/17/2025, 22:00:00</t>
  </si>
  <si>
    <t>SADIKI</t>
  </si>
  <si>
    <t>66413058</t>
  </si>
  <si>
    <t>ARNY STAR BUSINESS CO</t>
  </si>
  <si>
    <t>66413126</t>
  </si>
  <si>
    <t>OBOMA</t>
  </si>
  <si>
    <t>66413230</t>
  </si>
  <si>
    <t>FAITH TRADING</t>
  </si>
  <si>
    <t>66414355</t>
  </si>
  <si>
    <t>66414357</t>
  </si>
  <si>
    <t>KAC GENERAL</t>
  </si>
  <si>
    <t>66414505</t>
  </si>
  <si>
    <t>66497050</t>
  </si>
  <si>
    <t>TOGETHER BUILDING ALUMINIUM</t>
  </si>
  <si>
    <t>66497086</t>
  </si>
  <si>
    <t>66497496</t>
  </si>
  <si>
    <t>66497827</t>
  </si>
  <si>
    <t>66499865</t>
  </si>
  <si>
    <t xml:space="preserve">BEST TAIFA </t>
  </si>
  <si>
    <t>66499945</t>
  </si>
  <si>
    <t>09/18/2025, 09:09:00</t>
  </si>
  <si>
    <t>66497035</t>
  </si>
  <si>
    <t>09/18/2025, 09:10:00</t>
  </si>
  <si>
    <t>RAH386G</t>
  </si>
  <si>
    <t>66497023</t>
  </si>
  <si>
    <t>09/18/2025, 10:01:00</t>
  </si>
  <si>
    <t>BUGUMA COMPANY</t>
  </si>
  <si>
    <t>66497130</t>
  </si>
  <si>
    <t>09/18/2025, 12:23:00</t>
  </si>
  <si>
    <t>66497492</t>
  </si>
  <si>
    <t>09/18/2025, 14:14:00</t>
  </si>
  <si>
    <t>66497692</t>
  </si>
  <si>
    <t>09/19/2025, 22:00:00</t>
  </si>
  <si>
    <t>66414614</t>
  </si>
  <si>
    <t>66415230</t>
  </si>
  <si>
    <t>66499910</t>
  </si>
  <si>
    <t>66499739</t>
  </si>
  <si>
    <t>09/20/2025, 04:02:00</t>
  </si>
  <si>
    <t>RAG201M</t>
  </si>
  <si>
    <t>66499735</t>
  </si>
  <si>
    <t>09/20/2025, 04:10:00</t>
  </si>
  <si>
    <t>F1910A</t>
  </si>
  <si>
    <t>66499862</t>
  </si>
  <si>
    <t>09/20/2025, 12:49:00</t>
  </si>
  <si>
    <t>RAC605E</t>
  </si>
  <si>
    <t>66499909</t>
  </si>
  <si>
    <t>09/20/2025, 13:26:00</t>
  </si>
  <si>
    <t>H8958A</t>
  </si>
  <si>
    <t>66499941</t>
  </si>
  <si>
    <t>09/20/2025, 22:00:00</t>
  </si>
  <si>
    <t>66415332</t>
  </si>
  <si>
    <t>66415621</t>
  </si>
  <si>
    <t>66415851</t>
  </si>
  <si>
    <t>66500744</t>
  </si>
  <si>
    <t>66500683</t>
  </si>
  <si>
    <t>66500662</t>
  </si>
  <si>
    <t>09/21/2025, 10:09:00</t>
  </si>
  <si>
    <t>66500645</t>
  </si>
  <si>
    <t>09/21/2025, 11:09:00</t>
  </si>
  <si>
    <t>RAI731U</t>
  </si>
  <si>
    <t>66500682</t>
  </si>
  <si>
    <t>09/21/2025, 12:09:00</t>
  </si>
  <si>
    <t>RAH494R</t>
  </si>
  <si>
    <t>66500734</t>
  </si>
  <si>
    <t>09/21/2025, 22:00:00</t>
  </si>
  <si>
    <t>66416365</t>
  </si>
  <si>
    <t>FAITH TRADING COMPANY</t>
  </si>
  <si>
    <t>66418425</t>
  </si>
  <si>
    <t>66502025</t>
  </si>
  <si>
    <t>66501658</t>
  </si>
  <si>
    <t>09/22/2025, 10:09:00</t>
  </si>
  <si>
    <t>RAI948Z</t>
  </si>
  <si>
    <t>66501653</t>
  </si>
  <si>
    <t>09/22/2025, 10:37:00</t>
  </si>
  <si>
    <t>ANGLEBERT</t>
  </si>
  <si>
    <t>66501657</t>
  </si>
  <si>
    <t>09/22/2025, 14:15:00</t>
  </si>
  <si>
    <t>66502019</t>
  </si>
  <si>
    <t>09/22/2025, 22:00:00</t>
  </si>
  <si>
    <t>GAHUNGU BUSINESS</t>
  </si>
  <si>
    <t>66502807</t>
  </si>
  <si>
    <t>RAYMOND</t>
  </si>
  <si>
    <t>66407177</t>
  </si>
  <si>
    <t>66419291</t>
  </si>
  <si>
    <t>66419302</t>
  </si>
  <si>
    <t>66419447</t>
  </si>
  <si>
    <t>66503049</t>
  </si>
  <si>
    <t>COOPERATIVE INGUNGURU TWITEZIMBERE</t>
  </si>
  <si>
    <t>66503113</t>
  </si>
  <si>
    <t>NYYVO BUSINESS Ltd</t>
  </si>
  <si>
    <t>66503131</t>
  </si>
  <si>
    <t>09/23/2025, 09:11:00</t>
  </si>
  <si>
    <t>RAF715Z</t>
  </si>
  <si>
    <t>66502802</t>
  </si>
  <si>
    <t>09/23/2025, 11:09:00</t>
  </si>
  <si>
    <t>66503035</t>
  </si>
  <si>
    <t>09/23/2025, 12:09:00</t>
  </si>
  <si>
    <t>66503108</t>
  </si>
  <si>
    <t>RAG948H</t>
  </si>
  <si>
    <t>66503052</t>
  </si>
  <si>
    <t>09/23/2025, 22:00:00</t>
  </si>
  <si>
    <t>emmanuel trading</t>
  </si>
  <si>
    <t>66419534</t>
  </si>
  <si>
    <t>HABIYAREMYE JEAN D'AMOUR</t>
  </si>
  <si>
    <t>66420692</t>
  </si>
  <si>
    <t>66504520</t>
  </si>
  <si>
    <t>MADRAS MATERIALS Ltd</t>
  </si>
  <si>
    <t>66504128</t>
  </si>
  <si>
    <t>09/24/2025, 09:09:00</t>
  </si>
  <si>
    <t>RAB978J</t>
  </si>
  <si>
    <t>66504119</t>
  </si>
  <si>
    <t>09/24/2025, 14:09:00</t>
  </si>
  <si>
    <t>RAD085E</t>
  </si>
  <si>
    <t>66504513</t>
  </si>
  <si>
    <t>09/24/2025, 14:41:28</t>
  </si>
  <si>
    <t>66497675</t>
  </si>
  <si>
    <t>09/25/2025, 08:10:47</t>
  </si>
  <si>
    <t>RWANDA SPECIAL MATERIALS</t>
  </si>
  <si>
    <t>66482905</t>
  </si>
  <si>
    <t>09/25/2025, 08:15:30</t>
  </si>
  <si>
    <t>T557EFP</t>
  </si>
  <si>
    <t>09/25/2025, 08:17:02</t>
  </si>
  <si>
    <t>09/25/2025, 09:32:28</t>
  </si>
  <si>
    <t>66482370</t>
  </si>
  <si>
    <t>09/25/2025, 10:08:02</t>
  </si>
  <si>
    <t>66505539</t>
  </si>
  <si>
    <t>09/25/2025, 10:19:52</t>
  </si>
  <si>
    <t>66482343</t>
  </si>
  <si>
    <t>09/25/2025, 10:30:47</t>
  </si>
  <si>
    <t>66505576</t>
  </si>
  <si>
    <t>09/25/2025, 11:14:13</t>
  </si>
  <si>
    <t>RAF938U</t>
  </si>
  <si>
    <t>66485475</t>
  </si>
  <si>
    <t>09/25/2025, 13:13:17</t>
  </si>
  <si>
    <t>66505833&amp;66505838</t>
  </si>
  <si>
    <t>09/25/2025, 22:00:00</t>
  </si>
  <si>
    <t>66507212</t>
  </si>
  <si>
    <t>66507207</t>
  </si>
  <si>
    <t>66420800</t>
  </si>
  <si>
    <t>RIJO COMPANY LTD</t>
  </si>
  <si>
    <t>66420885</t>
  </si>
  <si>
    <t>09/26/2025, 08:04:52</t>
  </si>
  <si>
    <t>66496182, 66506683</t>
  </si>
  <si>
    <t>09/26/2025, 08:22:52</t>
  </si>
  <si>
    <t>66506693</t>
  </si>
  <si>
    <t>09/26/2025, 08:24:24</t>
  </si>
  <si>
    <t>CGO7683AF19</t>
  </si>
  <si>
    <t>66507193</t>
  </si>
  <si>
    <t>09/26/2025, 08:26:17</t>
  </si>
  <si>
    <t>BUGOMA COMPANY</t>
  </si>
  <si>
    <t>66506723</t>
  </si>
  <si>
    <t>09/28/2025, 07:22:18</t>
  </si>
  <si>
    <t>66508626</t>
  </si>
  <si>
    <t>09/28/2025, 09:29:08</t>
  </si>
  <si>
    <t>M.V TUWOMBE MUNGU 2</t>
  </si>
  <si>
    <t>ok</t>
  </si>
  <si>
    <t>66362702  66362706</t>
  </si>
  <si>
    <t>N/A</t>
  </si>
  <si>
    <t xml:space="preserve">66482983/66482985
</t>
  </si>
  <si>
    <t>66509749
66509752</t>
  </si>
  <si>
    <t>09/28/2025, 13:05:20</t>
  </si>
  <si>
    <t>66508630</t>
  </si>
  <si>
    <t>09/28/2025, 13:11:47</t>
  </si>
  <si>
    <t>66509009</t>
  </si>
  <si>
    <t>09/28/2025, 13:20:17</t>
  </si>
  <si>
    <t xml:space="preserve"> 66509013</t>
  </si>
  <si>
    <t>09/28/2025, 13:24:17</t>
  </si>
  <si>
    <t>66508787</t>
  </si>
  <si>
    <t>09/28/2025, 13:28:09</t>
  </si>
  <si>
    <t>66508789</t>
  </si>
  <si>
    <t>09/29/2025, 06:12:55</t>
  </si>
  <si>
    <t>66509438</t>
  </si>
  <si>
    <t>09/29/2025, 06:19:15</t>
  </si>
  <si>
    <t>66509442</t>
  </si>
  <si>
    <t>09/29/2025, 06:34:02</t>
  </si>
  <si>
    <t>66509458</t>
  </si>
  <si>
    <t>09/29/2025, 06:37:26</t>
  </si>
  <si>
    <t>66509465</t>
  </si>
  <si>
    <t>09/29/2025, 08:25:32</t>
  </si>
  <si>
    <t>66509678</t>
  </si>
  <si>
    <t>09/29/2025, 08:30:58</t>
  </si>
  <si>
    <t>66509680</t>
  </si>
  <si>
    <t>09/29/2025, 08:37:16</t>
  </si>
  <si>
    <t>66509713</t>
  </si>
  <si>
    <t>09/29/2025, 08:47:54</t>
  </si>
  <si>
    <t>66509721</t>
  </si>
  <si>
    <t>09/29/2025, 10:20:14</t>
  </si>
  <si>
    <t>66509784</t>
  </si>
  <si>
    <t>09/29/2025, 11:13:44</t>
  </si>
  <si>
    <t>66509792</t>
  </si>
  <si>
    <t>09/29/2025, 12:19:42</t>
  </si>
  <si>
    <t>CGO7130AA02</t>
  </si>
  <si>
    <t>66510077</t>
  </si>
  <si>
    <t>09/29/2025, 13:13:43</t>
  </si>
  <si>
    <t>RAC268X</t>
  </si>
  <si>
    <t>66510197</t>
  </si>
  <si>
    <t>09/29/2025, 13:22:06</t>
  </si>
  <si>
    <t>CHUMVI SAFI LTD</t>
  </si>
  <si>
    <t>66510203</t>
  </si>
  <si>
    <t>09/29/2025, 13:57:44</t>
  </si>
  <si>
    <t>66510271</t>
  </si>
  <si>
    <t>09/29/2025, 14:02:54</t>
  </si>
  <si>
    <t>66510082</t>
  </si>
  <si>
    <t>09/29/2025, 14:21:37</t>
  </si>
  <si>
    <t>66510220</t>
  </si>
  <si>
    <t>09/29/2025, 14:53:39</t>
  </si>
  <si>
    <t>66510272</t>
  </si>
  <si>
    <t>09/29/2025, 22:00:00</t>
  </si>
  <si>
    <t>THOMAS</t>
  </si>
  <si>
    <t>66421952</t>
  </si>
  <si>
    <t xml:space="preserve"> 66422410</t>
  </si>
  <si>
    <t>UA BETTER COMPANY</t>
  </si>
  <si>
    <t>66511583</t>
  </si>
  <si>
    <t>66511546</t>
  </si>
  <si>
    <t>09/30/2025, 05:25:45</t>
  </si>
  <si>
    <t>66510692</t>
  </si>
  <si>
    <t>09/30/2025, 05:29:56</t>
  </si>
  <si>
    <t>66510701</t>
  </si>
  <si>
    <t>09/30/2025, 05:50:55</t>
  </si>
  <si>
    <t>66510731</t>
  </si>
  <si>
    <t>09/30/2025, 05:53:59</t>
  </si>
  <si>
    <t>66510736</t>
  </si>
  <si>
    <t>09/30/2025, 07:13:42</t>
  </si>
  <si>
    <t>66510827</t>
  </si>
  <si>
    <t>09/30/2025, 07:19:00</t>
  </si>
  <si>
    <t>66510843</t>
  </si>
  <si>
    <t>09/30/2025, 07:24:45</t>
  </si>
  <si>
    <t>RAC024</t>
  </si>
  <si>
    <t>66510853</t>
  </si>
  <si>
    <t>09/30/2025, 07:32:24</t>
  </si>
  <si>
    <t>66510862</t>
  </si>
  <si>
    <t>09/30/2025, 10:29:36</t>
  </si>
  <si>
    <t xml:space="preserve"> 66511155</t>
  </si>
  <si>
    <t>09/30/2025, 10:38:51</t>
  </si>
  <si>
    <t>N&amp;J TRADING HOUSE COMPANY</t>
  </si>
  <si>
    <t>66511165</t>
  </si>
  <si>
    <t>09/30/2025, 11:15:47</t>
  </si>
  <si>
    <t>RAE289Y</t>
  </si>
  <si>
    <t>66511131</t>
  </si>
  <si>
    <t>09/30/2025, 11:27:00</t>
  </si>
  <si>
    <t>66511153</t>
  </si>
  <si>
    <t>09/30/2025, 11:34:00</t>
  </si>
  <si>
    <t>RAE209W</t>
  </si>
  <si>
    <t>66511250</t>
  </si>
  <si>
    <t>09/30/2025, 11:39:47</t>
  </si>
  <si>
    <t>66511260</t>
  </si>
  <si>
    <t>09/30/2025, 11:53:09</t>
  </si>
  <si>
    <t>PLASMACO Ltd</t>
  </si>
  <si>
    <t>66511185</t>
  </si>
  <si>
    <t>09/30/2025, 12:09:29</t>
  </si>
  <si>
    <t>66511290</t>
  </si>
  <si>
    <t>09/30/2025, 12:11:57</t>
  </si>
  <si>
    <t xml:space="preserve"> 66511214</t>
  </si>
  <si>
    <t>09/30/2025, 12:12:27</t>
  </si>
  <si>
    <t>66511292</t>
  </si>
  <si>
    <t>09/30/2025, 12:29:03</t>
  </si>
  <si>
    <t>66511242</t>
  </si>
  <si>
    <t>09/30/2025, 13:19:18</t>
  </si>
  <si>
    <t>66511423</t>
  </si>
  <si>
    <t>09/30/2025, 13:22:41</t>
  </si>
  <si>
    <t>66511428</t>
  </si>
  <si>
    <t>09/30/2025, 13:26:25</t>
  </si>
  <si>
    <t xml:space="preserve"> 66511435</t>
  </si>
  <si>
    <t>09/30/2025, 13:32:54</t>
  </si>
  <si>
    <t>66511447</t>
  </si>
  <si>
    <t>09/30/2025, 14:05:23</t>
  </si>
  <si>
    <t>66510023</t>
  </si>
  <si>
    <t>09/30/2025, 14:23:54</t>
  </si>
  <si>
    <t>RAE710F</t>
  </si>
  <si>
    <t xml:space="preserve"> 66511536</t>
  </si>
  <si>
    <t>09/30/2025, 14:40:23</t>
  </si>
  <si>
    <t>66511344</t>
  </si>
  <si>
    <t>09/30/2025, 14:42:17</t>
  </si>
  <si>
    <t>RAB352U</t>
  </si>
  <si>
    <t>66511574</t>
  </si>
  <si>
    <t>10/01/2025, 06:34:43</t>
  </si>
  <si>
    <t>66512050</t>
  </si>
  <si>
    <t>10/01/2025, 06:36:54</t>
  </si>
  <si>
    <t>66512051</t>
  </si>
  <si>
    <t>10/01/2025, 06:40:46</t>
  </si>
  <si>
    <t>66511997</t>
  </si>
  <si>
    <t>10/01/2025, 06:47:36</t>
  </si>
  <si>
    <t>66512003</t>
  </si>
  <si>
    <t>10/01/2025, 08:48:55</t>
  </si>
  <si>
    <t>66512198</t>
  </si>
  <si>
    <t>10/01/2025, 08:52:31</t>
  </si>
  <si>
    <t>66512205</t>
  </si>
  <si>
    <t>10/01/2025, 11:52:03</t>
  </si>
  <si>
    <t>RAC 024E</t>
  </si>
  <si>
    <t>66512564</t>
  </si>
  <si>
    <t>10/01/2025, 12:00:54</t>
  </si>
  <si>
    <t>66512576</t>
  </si>
  <si>
    <t>10/01/2025, 12:07:40</t>
  </si>
  <si>
    <t>66512591</t>
  </si>
  <si>
    <t>10/01/2025, 12:18:04</t>
  </si>
  <si>
    <t>66512595</t>
  </si>
  <si>
    <t>10/01/2025, 13:14:29</t>
  </si>
  <si>
    <t>66512691</t>
  </si>
  <si>
    <t>10/01/2025, 13:17:12</t>
  </si>
  <si>
    <t>66512671</t>
  </si>
  <si>
    <t>10/01/2025, 13:42:14</t>
  </si>
  <si>
    <t>CGO5950AE22</t>
  </si>
  <si>
    <t>66512756</t>
  </si>
  <si>
    <t>10/01/2025, 14:39:42</t>
  </si>
  <si>
    <t>66512847</t>
  </si>
  <si>
    <t>10/01/2025, 14:42:59</t>
  </si>
  <si>
    <t>66512852</t>
  </si>
  <si>
    <t>10/01/2025, 14:48:23</t>
  </si>
  <si>
    <t>KITUMAINE</t>
  </si>
  <si>
    <t>66512796</t>
  </si>
  <si>
    <t>10/02/2025, 09:10:41</t>
  </si>
  <si>
    <t>RAE442V</t>
  </si>
  <si>
    <t>66513575</t>
  </si>
  <si>
    <t>10/02/2025, 09:13:46</t>
  </si>
  <si>
    <t>66513559</t>
  </si>
  <si>
    <t>10/02/2025, 09:17:14</t>
  </si>
  <si>
    <t>66513502</t>
  </si>
  <si>
    <t>10/02/2025, 09:20:23</t>
  </si>
  <si>
    <t>66513504</t>
  </si>
  <si>
    <t>10/02/2025, 10:59:35</t>
  </si>
  <si>
    <t>66513427</t>
  </si>
  <si>
    <t>10/02/2025, 11:04:31</t>
  </si>
  <si>
    <t>66513433</t>
  </si>
  <si>
    <t>10/02/2025, 12:17:03</t>
  </si>
  <si>
    <t>RAF465U</t>
  </si>
  <si>
    <t>66513809</t>
  </si>
  <si>
    <t>10/02/2025, 12:33:04</t>
  </si>
  <si>
    <t xml:space="preserve">BAKHRESA GRAIN MILLING </t>
  </si>
  <si>
    <t>66513838</t>
  </si>
  <si>
    <t>10/02/2025, 12:39:17</t>
  </si>
  <si>
    <t>MISECORD DIVINE WOODEN</t>
  </si>
  <si>
    <t>66513865</t>
  </si>
  <si>
    <t>10/03/2025, 12:39:46</t>
  </si>
  <si>
    <t>RAI023W</t>
  </si>
  <si>
    <t>66515190</t>
  </si>
  <si>
    <t>10/03/2025, 12:40:37</t>
  </si>
  <si>
    <t>66515191</t>
  </si>
  <si>
    <t>10/03/2025, 12:43:19</t>
  </si>
  <si>
    <t>10/03/2025, 12:44:51</t>
  </si>
  <si>
    <t>66515201</t>
  </si>
  <si>
    <t>10/04/2025, 10:22:11</t>
  </si>
  <si>
    <t>RAE467A</t>
  </si>
  <si>
    <t>66516056</t>
  </si>
  <si>
    <t>10/04/2025, 10:37:14</t>
  </si>
  <si>
    <t>66516061</t>
  </si>
  <si>
    <t>10/04/2025, 15:19:04</t>
  </si>
  <si>
    <t>RAF728W</t>
  </si>
  <si>
    <t>66516301</t>
  </si>
  <si>
    <t>10/04/2025, 15:28:27</t>
  </si>
  <si>
    <t>66516307</t>
  </si>
  <si>
    <t>10/04/2025, 15:42:25</t>
  </si>
  <si>
    <t>RAE136R</t>
  </si>
  <si>
    <t>66516319</t>
  </si>
  <si>
    <t>10/04/2025, 15:45:02</t>
  </si>
  <si>
    <t>66516328</t>
  </si>
  <si>
    <t>10/04/2025, 22:00:00</t>
  </si>
  <si>
    <t>aruti</t>
  </si>
  <si>
    <t xml:space="preserve"> 66427495</t>
  </si>
  <si>
    <t>RULIBA CLAYS LIMITED</t>
  </si>
  <si>
    <t>66427657</t>
  </si>
  <si>
    <t>66428172</t>
  </si>
  <si>
    <t>MBONIGABA BONAVANTURE</t>
  </si>
  <si>
    <t>66516679</t>
  </si>
  <si>
    <t>66516586</t>
  </si>
  <si>
    <t>66516636</t>
  </si>
  <si>
    <t>10/06/2025, 06:10:00</t>
  </si>
  <si>
    <t>66516635</t>
  </si>
  <si>
    <t>10/06/2025, 07:39:00</t>
  </si>
  <si>
    <t>66516583</t>
  </si>
  <si>
    <t>10/06/2025, 09:33:00</t>
  </si>
  <si>
    <t>66516678</t>
  </si>
  <si>
    <t>10/06/2025, 12:38:10</t>
  </si>
  <si>
    <t>66517872</t>
  </si>
  <si>
    <t>10/06/2025, 12:41:41</t>
  </si>
  <si>
    <t>HA7595A</t>
  </si>
  <si>
    <t>66517873</t>
  </si>
  <si>
    <t>10/06/2025, 13:14:35</t>
  </si>
  <si>
    <t>KDH173C</t>
  </si>
  <si>
    <t>66517937</t>
  </si>
  <si>
    <t>10/06/2025, 13:19:17</t>
  </si>
  <si>
    <t>PEARL ENTERPRISE LTD</t>
  </si>
  <si>
    <t xml:space="preserve"> 66517952</t>
  </si>
  <si>
    <t>10/06/2025, 15:20:12</t>
  </si>
  <si>
    <t>MALI NI WATU</t>
  </si>
  <si>
    <t>66518202</t>
  </si>
  <si>
    <t>10/06/2025, 15:24:44</t>
  </si>
  <si>
    <t>KDE135G</t>
  </si>
  <si>
    <t>66518214</t>
  </si>
  <si>
    <t>10/06/2025, 16:03:22</t>
  </si>
  <si>
    <t>66518262</t>
  </si>
  <si>
    <t>10/07/2025, 09:38:01</t>
  </si>
  <si>
    <t>66518962</t>
  </si>
  <si>
    <t>10/07/2025, 10:21:41</t>
  </si>
  <si>
    <t>66518970</t>
  </si>
  <si>
    <t>10/08/2025, 08:04:05</t>
  </si>
  <si>
    <t>UBA654F</t>
  </si>
  <si>
    <t>66520061</t>
  </si>
  <si>
    <t>10/08/2025, 08:09:06</t>
  </si>
  <si>
    <t>66520072</t>
  </si>
  <si>
    <t>10/08/2025, 09:09:36</t>
  </si>
  <si>
    <t>EVACLAIRE</t>
  </si>
  <si>
    <t>66482948</t>
  </si>
  <si>
    <t>10/08/2025, 09:17:30</t>
  </si>
  <si>
    <t>66494218
66494239</t>
  </si>
  <si>
    <t>10/08/2025, 09:40:23</t>
  </si>
  <si>
    <t>66510958</t>
  </si>
  <si>
    <t>10/08/2025, 09:44:33</t>
  </si>
  <si>
    <t>EMMANUEL 5</t>
  </si>
  <si>
    <t>66513520
66513522</t>
  </si>
  <si>
    <t>10/08/2025, 09:53:17</t>
  </si>
  <si>
    <t>MULEHE I</t>
  </si>
  <si>
    <t>66516221</t>
  </si>
  <si>
    <t>10/09/2025, 08:39:57</t>
  </si>
  <si>
    <t>66521359</t>
  </si>
  <si>
    <t>10/09/2025, 08:55:09</t>
  </si>
  <si>
    <t>66521392</t>
  </si>
  <si>
    <t>10/09/2025, 10:05:30</t>
  </si>
  <si>
    <t>RAI076N</t>
  </si>
  <si>
    <t>66521533</t>
  </si>
  <si>
    <t>10/09/2025, 10:18:05</t>
  </si>
  <si>
    <t>66512755</t>
  </si>
  <si>
    <t>10/09/2025, 11:25:55</t>
  </si>
  <si>
    <t>CGO0489AG19</t>
  </si>
  <si>
    <t>66521655</t>
  </si>
  <si>
    <t>10/09/2025, 11:38:40</t>
  </si>
  <si>
    <t>RAH309K</t>
  </si>
  <si>
    <t>66521670</t>
  </si>
  <si>
    <t>10/09/2025, 11:47:46</t>
  </si>
  <si>
    <t>66521675</t>
  </si>
  <si>
    <t>10/09/2025, 12:18:49</t>
  </si>
  <si>
    <t>NANKAFU MRSHUNGA JEANNETTE</t>
  </si>
  <si>
    <t>66521713</t>
  </si>
  <si>
    <t>10/09/2025, 12:29:09</t>
  </si>
  <si>
    <t xml:space="preserve"> 66521737</t>
  </si>
  <si>
    <t>10/09/2025, 13:16:18</t>
  </si>
  <si>
    <t>RAE601S</t>
  </si>
  <si>
    <t>66521807</t>
  </si>
  <si>
    <t>10/09/2025, 13:23:07</t>
  </si>
  <si>
    <t>66521808</t>
  </si>
  <si>
    <t>10/09/2025, 13:42:18</t>
  </si>
  <si>
    <t>66521857/66521852</t>
  </si>
  <si>
    <t>10/09/2025, 14:30:41</t>
  </si>
  <si>
    <t>66521950</t>
  </si>
  <si>
    <t>10/09/2025, 14:37:34</t>
  </si>
  <si>
    <t>66521953</t>
  </si>
  <si>
    <t>10/09/2025, 14:47:32</t>
  </si>
  <si>
    <t>66521748</t>
  </si>
  <si>
    <t>10/09/2025, 14:50:16</t>
  </si>
  <si>
    <t>66521573</t>
  </si>
  <si>
    <t>10/10/2025, 10:09:39</t>
  </si>
  <si>
    <t>RAI389W</t>
  </si>
  <si>
    <t>66522874</t>
  </si>
  <si>
    <t>10/10/2025, 10:17:51</t>
  </si>
  <si>
    <t>66522878</t>
  </si>
  <si>
    <t>10/10/2025, 12:52:34</t>
  </si>
  <si>
    <t>RAF467B</t>
  </si>
  <si>
    <t>66523144</t>
  </si>
  <si>
    <t>10/10/2025, 13:02:23</t>
  </si>
  <si>
    <t>SALAMA MACHINE</t>
  </si>
  <si>
    <t>66523147</t>
  </si>
  <si>
    <t>10/11/2025, 10:33:13</t>
  </si>
  <si>
    <t>RAI182L</t>
  </si>
  <si>
    <t xml:space="preserve">66524024
</t>
  </si>
  <si>
    <t>10/11/2025, 11:04:59</t>
  </si>
  <si>
    <t>RAD534T</t>
  </si>
  <si>
    <t>66524070</t>
  </si>
  <si>
    <t>10/11/2025, 13:06:05</t>
  </si>
  <si>
    <t>EDEN CARGO HANDLING</t>
  </si>
  <si>
    <t>10/11/2025, 13:20:30</t>
  </si>
  <si>
    <t>Expert Family</t>
  </si>
  <si>
    <t>66524077</t>
  </si>
  <si>
    <t>10/12/2025, 13:26:11</t>
  </si>
  <si>
    <t>66524930</t>
  </si>
  <si>
    <t>10/12/2025, 13:51:11</t>
  </si>
  <si>
    <t>UBF039M</t>
  </si>
  <si>
    <t>66524938</t>
  </si>
  <si>
    <t>10/12/2025, 13:55:20</t>
  </si>
  <si>
    <t>66524949</t>
  </si>
  <si>
    <t>10/12/2025, 14:01:51</t>
  </si>
  <si>
    <t>Munguiko</t>
  </si>
  <si>
    <t>66524966</t>
  </si>
  <si>
    <t>10/12/2025, 14:15:41</t>
  </si>
  <si>
    <t>UBF854K</t>
  </si>
  <si>
    <t>66524981</t>
  </si>
  <si>
    <t>10/12/2025, 14:20:33</t>
  </si>
  <si>
    <t>REHEMA IRAGI</t>
  </si>
  <si>
    <t>66524985</t>
  </si>
  <si>
    <t>10/13/2025, 07:03:12</t>
  </si>
  <si>
    <t>AFRINEST ENGINEERING LTD</t>
  </si>
  <si>
    <t>66468899</t>
  </si>
  <si>
    <t>10/13/2025, 07:04:45</t>
  </si>
  <si>
    <t>NAVALIS MARITIME AGENCY LTD</t>
  </si>
  <si>
    <t>66468904</t>
  </si>
  <si>
    <t>10/13/2025, 07:06:28</t>
  </si>
  <si>
    <t>NSHIMYUMUGABE FESTUS MAY PYT RESTO</t>
  </si>
  <si>
    <t>66468868</t>
  </si>
  <si>
    <t>10/13/2025, 12:01:29</t>
  </si>
  <si>
    <t>MUNGUYIKO</t>
  </si>
  <si>
    <t xml:space="preserve">66525964
</t>
  </si>
  <si>
    <t>10/14/2025, 09:03:19</t>
  </si>
  <si>
    <t>66525675</t>
  </si>
  <si>
    <t>10/14/2025, 10:43:47</t>
  </si>
  <si>
    <t>T939DVC</t>
  </si>
  <si>
    <t>66527162</t>
  </si>
  <si>
    <t>10/14/2025, 14:38:54</t>
  </si>
  <si>
    <t>66527262</t>
  </si>
  <si>
    <t>10/15/2025, 09:31:05</t>
  </si>
  <si>
    <t>RAG628N</t>
  </si>
  <si>
    <t>66528284</t>
  </si>
  <si>
    <t>10/15/2025, 10:00:49</t>
  </si>
  <si>
    <t xml:space="preserve"> 66528351</t>
  </si>
  <si>
    <t>10/15/2025, 10:51:01</t>
  </si>
  <si>
    <t>RAG838N</t>
  </si>
  <si>
    <t>66528452</t>
  </si>
  <si>
    <t>10/15/2025, 11:20:50</t>
  </si>
  <si>
    <t>SINGIRANKABO PACIFIQUE</t>
  </si>
  <si>
    <t>66528459</t>
  </si>
  <si>
    <t>Port Syst</t>
  </si>
  <si>
    <t>RRA</t>
  </si>
  <si>
    <t>66479888  
66479886</t>
  </si>
  <si>
    <t>66505833 &amp; 66505838</t>
  </si>
  <si>
    <t>AFRINEST ENGINEERING LTD SEPTEMBER PYT</t>
  </si>
  <si>
    <t>17-Oct-2025</t>
  </si>
  <si>
    <t>NAVALIS MARITIME AGENCY LTD SEPTEMBER PYT</t>
  </si>
  <si>
    <t>15-Oct-2025</t>
  </si>
  <si>
    <t>TRANSAFRICAN CONTAINER TRANSPORT LTD SEPTEMBER PYT UNPAVED</t>
  </si>
  <si>
    <t>Unpaved Open Storage (Slipway)</t>
  </si>
  <si>
    <t>TRANSAFRICAN CONTAINER TRANSPORT LTD SEPTEMBER PYT GARAGE</t>
  </si>
  <si>
    <t>Garage</t>
  </si>
  <si>
    <t xml:space="preserve">66482983/ 66482985
</t>
  </si>
  <si>
    <t>66509749 
66509752</t>
  </si>
  <si>
    <t>66494218 
66494239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</si>
</sst>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_€"/>
    <numFmt numFmtId="165" formatCode="_(&quot;$&quot;* #,##0_);_(&quot;$&quot;* \(#,##0\);_(&quot;$&quot;* &quot;-&quot;??_);_(@_)"/>
  </numFmts>
  <fonts count="7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sz val="10.0"/>
      <color rgb="FFFF0000"/>
      <name val="Arial"/>
    </font>
    <font>
      <color rgb="FF008000"/>
      <name val="&quot;Century Gothic&quot;"/>
    </font>
  </fonts>
  <fills count="7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C0C0C0"/>
      </left>
      <top style="thin">
        <color rgb="FFC0C0C0"/>
      </top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</border>
    <border>
      <left style="thin">
        <color rgb="FFC0C0C0"/>
      </left>
      <right style="thin">
        <color rgb="FFC0C0C0"/>
      </right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164" xfId="0" applyAlignment="1" applyBorder="1" applyFont="1" applyNumberForma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0" fillId="0" fontId="2" numFmtId="0" xfId="0" applyFont="1"/>
    <xf borderId="0" fillId="0" fontId="2" numFmtId="164" xfId="0" applyFont="1" applyNumberFormat="1"/>
    <xf borderId="0" fillId="0" fontId="1" numFmtId="165" xfId="0" applyAlignment="1" applyFont="1" applyNumberFormat="1">
      <alignment horizontal="right" shrinkToFit="0" vertical="bottom" wrapText="0"/>
    </xf>
    <xf borderId="7" fillId="2" fontId="3" numFmtId="0" xfId="0" applyAlignment="1" applyBorder="1" applyFill="1" applyFont="1">
      <alignment shrinkToFit="0" vertical="bottom" wrapText="0"/>
    </xf>
    <xf borderId="7" fillId="2" fontId="3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2" fontId="1" numFmtId="164" xfId="0" applyAlignment="1" applyBorder="1" applyFont="1" applyNumberForma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8" fillId="0" fontId="4" numFmtId="0" xfId="0" applyBorder="1" applyFont="1"/>
    <xf borderId="7" fillId="3" fontId="1" numFmtId="0" xfId="0" applyAlignment="1" applyBorder="1" applyFill="1" applyFont="1">
      <alignment shrinkToFit="0" vertical="bottom" wrapText="1"/>
    </xf>
    <xf borderId="7" fillId="3" fontId="1" numFmtId="164" xfId="0" applyAlignment="1" applyBorder="1" applyFont="1" applyNumberFormat="1">
      <alignment shrinkToFit="0" vertical="bottom" wrapText="0"/>
    </xf>
    <xf borderId="7" fillId="3" fontId="1" numFmtId="0" xfId="0" applyAlignment="1" applyBorder="1" applyFont="1">
      <alignment shrinkToFit="0" vertical="bottom" wrapText="0"/>
    </xf>
    <xf borderId="7" fillId="4" fontId="1" numFmtId="0" xfId="0" applyAlignment="1" applyBorder="1" applyFill="1" applyFont="1">
      <alignment shrinkToFit="0" vertical="bottom" wrapText="0"/>
    </xf>
    <xf borderId="7" fillId="4" fontId="1" numFmtId="164" xfId="0" applyAlignment="1" applyBorder="1" applyFont="1" applyNumberFormat="1">
      <alignment shrinkToFit="0" vertical="bottom" wrapText="0"/>
    </xf>
    <xf borderId="7" fillId="0" fontId="5" numFmtId="164" xfId="0" applyAlignment="1" applyBorder="1" applyFont="1" applyNumberForma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7" fillId="2" fontId="5" numFmtId="0" xfId="0" applyAlignment="1" applyBorder="1" applyFont="1">
      <alignment shrinkToFit="0" vertical="bottom" wrapText="0"/>
    </xf>
    <xf borderId="7" fillId="5" fontId="1" numFmtId="0" xfId="0" applyAlignment="1" applyBorder="1" applyFill="1" applyFont="1">
      <alignment shrinkToFit="0" vertical="bottom" wrapText="0"/>
    </xf>
    <xf borderId="0" fillId="6" fontId="6" numFmtId="3" xfId="0" applyAlignment="1" applyFill="1" applyFont="1" applyNumberFormat="1">
      <alignment horizontal="right" readingOrder="0"/>
    </xf>
    <xf borderId="0" fillId="0" fontId="2" numFmtId="3" xfId="0" applyFont="1" applyNumberFormat="1"/>
  </cellXfs>
  <cellStyles count="1">
    <cellStyle xfId="0" name="Normal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H251" sheet="RRA Sys"/>
  </cacheSource>
  <cacheFields>
    <cacheField name="Advice" numFmtId="0">
      <sharedItems containsSemiMixedTypes="0" containsString="0" containsNumber="1" containsInteger="1">
        <n v="6.6468868E7"/>
        <n v="6.6468899E7"/>
        <n v="6.6468904E7"/>
        <n v="6.6475394E7"/>
        <n v="6.6475412E7"/>
        <n v="6.6475414E7"/>
        <n v="6.647542E7"/>
        <n v="6.6475445E7"/>
        <n v="6.6475447E7"/>
        <n v="6.6476505E7"/>
        <n v="6.6476517E7"/>
        <n v="6.6476531E7"/>
        <n v="6.6476543E7"/>
        <n v="6.6476927E7"/>
        <n v="6.647694E7"/>
        <n v="6.6476945E7"/>
        <n v="6.6476969E7"/>
        <n v="6.6478073E7"/>
        <n v="6.6478109E7"/>
        <n v="6.6478189E7"/>
        <n v="6.6478214E7"/>
        <n v="6.6478329E7"/>
        <n v="6.6478337E7"/>
        <n v="6.6478351E7"/>
        <n v="6.6478367E7"/>
        <n v="6.6478405E7"/>
        <n v="6.6479573E7"/>
        <n v="6.6479578E7"/>
        <n v="6.6479584E7"/>
        <n v="6.6479588E7"/>
        <n v="6.6479621E7"/>
        <n v="6.6479681E7"/>
        <n v="6.6479713E7"/>
        <n v="6.6479737E7"/>
        <n v="6.6479829E7"/>
        <n v="6.6479834E7"/>
        <n v="6.6479886E7"/>
        <n v="6.6479888E7"/>
        <n v="6.6480668E7"/>
        <n v="6.648068E7"/>
        <n v="6.6481054E7"/>
        <n v="6.6482343E7"/>
        <n v="6.6482345E7"/>
        <n v="6.6482347E7"/>
        <n v="6.6482349E7"/>
        <n v="6.648237E7"/>
        <n v="6.6482373E7"/>
        <n v="6.6482902E7"/>
        <n v="6.6482905E7"/>
        <n v="6.6482948E7"/>
        <n v="6.6482966E7"/>
        <n v="6.6482967E7"/>
        <n v="6.6482968E7"/>
        <n v="6.648297E7"/>
        <n v="6.6482983E7"/>
        <n v="6.6482985E7"/>
        <n v="6.6483607E7"/>
        <n v="6.648362E7"/>
        <n v="6.6483624E7"/>
        <n v="6.6483749E7"/>
        <n v="6.6484097E7"/>
        <n v="6.6484102E7"/>
        <n v="6.6484343E7"/>
        <n v="6.6484351E7"/>
        <n v="6.6485475E7"/>
        <n v="6.6485485E7"/>
        <n v="6.6485627E7"/>
        <n v="6.6486538E7"/>
        <n v="6.648654E7"/>
        <n v="6.6486545E7"/>
        <n v="6.6486808E7"/>
        <n v="6.6486814E7"/>
        <n v="6.6487984E7"/>
        <n v="6.6488037E7"/>
        <n v="6.6488066E7"/>
        <n v="6.6488071E7"/>
        <n v="6.6490836E7"/>
        <n v="6.6491244E7"/>
        <n v="6.6491247E7"/>
        <n v="6.6491269E7"/>
        <n v="6.6491289E7"/>
        <n v="6.6491671E7"/>
        <n v="6.6491701E7"/>
        <n v="6.6491712E7"/>
        <n v="6.6491814E7"/>
        <n v="6.649182E7"/>
        <n v="6.6491828E7"/>
        <n v="6.6491831E7"/>
        <n v="6.6491936E7"/>
        <n v="6.6492809E7"/>
        <n v="6.6492965E7"/>
        <n v="6.649297E7"/>
        <n v="6.6492974E7"/>
        <n v="6.6492977E7"/>
        <n v="6.6493365E7"/>
        <n v="6.649339E7"/>
        <n v="6.6493392E7"/>
        <n v="6.6493427E7"/>
        <n v="6.6493432E7"/>
        <n v="6.6493829E7"/>
        <n v="6.6493831E7"/>
        <n v="6.6493845E7"/>
        <n v="6.6493851E7"/>
        <n v="6.6493854E7"/>
        <n v="6.6493856E7"/>
        <n v="6.6493868E7"/>
        <n v="6.6493872E7"/>
        <n v="6.6493887E7"/>
        <n v="6.6493894E7"/>
        <n v="6.6494111E7"/>
        <n v="6.6494117E7"/>
        <n v="6.6494118E7"/>
        <n v="6.6494128E7"/>
        <n v="6.6494136E7"/>
        <n v="6.6494142E7"/>
        <n v="6.6494156E7"/>
        <n v="6.6494162E7"/>
        <n v="6.6494164E7"/>
        <n v="6.6494168E7"/>
        <n v="6.6494218E7"/>
        <n v="6.6494239E7"/>
        <n v="6.6494244E7"/>
        <n v="6.6494248E7"/>
        <n v="6.6494432E7"/>
        <n v="6.6494481E7"/>
        <n v="6.6494491E7"/>
        <n v="6.6494544E7"/>
        <n v="6.6494633E7"/>
        <n v="6.6494635E7"/>
        <n v="6.6494691E7"/>
        <n v="6.6494694E7"/>
        <n v="6.6494698E7"/>
        <n v="6.6495313E7"/>
        <n v="6.6495317E7"/>
        <n v="6.6495319E7"/>
        <n v="6.6495328E7"/>
        <n v="6.6495884E7"/>
        <n v="6.649589E7"/>
        <n v="6.6496156E7"/>
        <n v="6.6496158E7"/>
        <n v="6.6496182E7"/>
        <n v="6.6497023E7"/>
        <n v="6.6497035E7"/>
        <n v="6.649705E7"/>
        <n v="6.6497086E7"/>
        <n v="6.649713E7"/>
        <n v="6.6497492E7"/>
        <n v="6.6497496E7"/>
        <n v="6.6497675E7"/>
        <n v="6.6497692E7"/>
        <n v="6.6497827E7"/>
        <n v="6.6499735E7"/>
        <n v="6.6499739E7"/>
        <n v="6.6499862E7"/>
        <n v="6.6499865E7"/>
        <n v="6.6499909E7"/>
        <n v="6.649991E7"/>
        <n v="6.6499941E7"/>
        <n v="6.6499945E7"/>
        <n v="6.6500645E7"/>
        <n v="6.6500662E7"/>
        <n v="6.6500682E7"/>
        <n v="6.6500683E7"/>
        <n v="6.6500734E7"/>
        <n v="6.6500744E7"/>
        <n v="6.6501653E7"/>
        <n v="6.6501657E7"/>
        <n v="6.6501658E7"/>
        <n v="6.6502019E7"/>
        <n v="6.6502025E7"/>
        <n v="6.6502802E7"/>
        <n v="6.6502807E7"/>
        <n v="6.6503035E7"/>
        <n v="6.6503049E7"/>
        <n v="6.6503052E7"/>
        <n v="6.6503108E7"/>
        <n v="6.6503113E7"/>
        <n v="6.6503131E7"/>
        <n v="6.6504119E7"/>
        <n v="6.6504128E7"/>
        <n v="6.6504513E7"/>
        <n v="6.650452E7"/>
        <n v="6.6505534E7"/>
        <n v="6.6505539E7"/>
        <n v="6.6505573E7"/>
        <n v="6.6505576E7"/>
        <n v="6.6505833E7"/>
        <n v="6.6505838E7"/>
        <n v="6.6506683E7"/>
        <n v="6.6506693E7"/>
        <n v="6.6506723E7"/>
        <n v="6.6507193E7"/>
        <n v="6.6507207E7"/>
        <n v="6.6507212E7"/>
        <n v="6.6508626E7"/>
        <n v="6.650863E7"/>
        <n v="6.6508787E7"/>
        <n v="6.6508789E7"/>
        <n v="6.6509009E7"/>
        <n v="6.6509013E7"/>
        <n v="6.6509438E7"/>
        <n v="6.6509442E7"/>
        <n v="6.6509458E7"/>
        <n v="6.6509465E7"/>
        <n v="6.6509678E7"/>
        <n v="6.650968E7"/>
        <n v="6.6509713E7"/>
        <n v="6.6509721E7"/>
        <n v="6.6509749E7"/>
        <n v="6.6509752E7"/>
        <n v="6.6509784E7"/>
        <n v="6.6509792E7"/>
        <n v="6.6510023E7"/>
        <n v="6.6510077E7"/>
        <n v="6.6510082E7"/>
        <n v="6.6510197E7"/>
        <n v="6.6510203E7"/>
        <n v="6.651022E7"/>
        <n v="6.6510271E7"/>
        <n v="6.6510272E7"/>
        <n v="6.6510692E7"/>
        <n v="6.6510701E7"/>
        <n v="6.6510731E7"/>
        <n v="6.6510736E7"/>
        <n v="6.6510827E7"/>
        <n v="6.6510843E7"/>
        <n v="6.6510853E7"/>
        <n v="6.6510862E7"/>
        <n v="6.6510958E7"/>
        <n v="6.6511131E7"/>
        <n v="6.6511153E7"/>
        <n v="6.6511155E7"/>
        <n v="6.6511165E7"/>
        <n v="6.6511185E7"/>
        <n v="6.6511214E7"/>
        <n v="6.6511242E7"/>
        <n v="6.651125E7"/>
        <n v="6.651126E7"/>
        <n v="6.651129E7"/>
        <n v="6.6511292E7"/>
        <n v="6.6511344E7"/>
        <n v="6.6511423E7"/>
        <n v="6.6511428E7"/>
        <n v="6.6511435E7"/>
        <n v="6.6511447E7"/>
        <n v="6.6511536E7"/>
        <n v="6.6511546E7"/>
        <n v="6.6511574E7"/>
        <n v="6.6511583E7"/>
      </sharedItems>
    </cacheField>
    <cacheField name="Name" numFmtId="0">
      <sharedItems>
        <s v="NSHIMYUMUREMYI FESTUS AUGUST RESTO"/>
        <s v="AFRINEST ENGINEERING LTD   AUGUST PYT"/>
        <s v="NAVALIS MARITIME AGENCY LTD    AUGUST PYT"/>
        <s v="sarah abdoul RAG812N"/>
        <s v="BEST TAIFA KDG169V"/>
        <s v="BEST TAIFA"/>
        <s v="BEST TAIFA KND784W"/>
        <s v="LA GLOIRE CONFIANCE TRADING RAH781U"/>
        <s v="LA GLOIRE CONFIANCE TRADING RAH787U"/>
        <s v="bahati jules ube384p"/>
        <s v="LA GLOIRE CONFIANCE TRADING LTD  rah497r"/>
        <s v="LA GLOIRE CONFIANCE TRADING RAH497R"/>
        <s v="MADRAS MATERIALS RAF062L"/>
        <s v="LA GLOIRE CONFIANCE TRADING RAH499R"/>
        <s v="UMUTONI GENERAL TRADING RAA443J"/>
        <s v="ROOFING ROLLING UBH566L"/>
        <s v="MALINI WATU"/>
        <s v="LA GLOIRE CONFIANCE RAI407D"/>
        <s v="LA GLOIRE CONFIANCE"/>
        <s v="LA GLOIRE CONFIANCE RAI408D"/>
        <s v="LA GLOIRE CONFIANCE TRADING RAG205P"/>
        <s v="arny star business RAI629A"/>
        <s v="BAHATI JIRESSE MOSEKA"/>
        <s v="BAHATI JIRESSE MOSEKA     UBJ761P"/>
        <s v="LA PROMESSE"/>
        <s v="LA GLOIRE CONFIANCE TRADING RAE533D"/>
        <s v="RUKOGO"/>
        <s v="RIJO COMPANY"/>
        <s v="BEST TAIFA kdq455m"/>
        <s v="KIGALI CERAMICS"/>
        <s v="RWANDA SPECIAL MATERIALS RAI789N"/>
        <s v="MV EVA CLAIRE"/>
        <s v="LA GLOIRE CONFIANCE TRADING LTD RAH279q"/>
        <s v="LA GLOIRE CONFIANCE TRADING LTD RAH442d"/>
        <s v="MV TUWOMBE MUNGU II"/>
        <s v=" byote binatoka kwa mungu"/>
        <s v="ingabire christine RAC024E"/>
        <s v="AMANI KWETU WOODEN BOAT"/>
        <s v="iwawa RAC138I"/>
        <s v="iwawa RAg138I"/>
        <s v="STAR GENERAL SUPPLIERS RAF938U"/>
        <s v="KAMUNTU WOODEN"/>
        <s v="CHANTAL RAF562C"/>
        <s v="CHANTAL "/>
        <s v="CHANTAL kamundu"/>
        <s v="KRYSTALLINE LIMITED"/>
        <s v="LA GLOIRE CONFIANCE RAI531M"/>
        <s v="MPOWER STEEL COMPANY UBJ135Q"/>
        <s v="MPOWER STEEL COMPANY"/>
        <s v="N and J TRADING HOUSE RAF499J"/>
        <s v="N and J TRADING HOUSE "/>
        <s v="HERITIER UA081AG"/>
        <s v="HERITIER "/>
        <s v="HERITIER SAHANI UA081AG"/>
        <s v="RWANDA SPECIAL MATERIALS RAH695K"/>
        <s v="MADRAS MATERIAL RAH695K"/>
        <s v="STATION BELLE VIE RAE522H"/>
        <s v="MADRAS MATERIAL RAE463E"/>
        <s v="MISECORDE LA DIVINE"/>
        <s v="MADRAS MATERIALS   RAE463E"/>
        <s v="ITH RAG950U"/>
        <s v="ITH RAG930U"/>
        <s v="MADRAS MATERIAL dufatanye"/>
        <s v="CHUMVI SAFI RAD085A"/>
        <s v="CHUMVI SAFI"/>
        <s v="BAHATI MOSEKA JIRESSE rai389a"/>
        <s v="BAHATI MOSEKA JIRESSE"/>
        <s v="ITH RAC128B"/>
        <s v="ITH RAE969Z"/>
        <s v="ITH  RAG930U"/>
        <s v="ITH RAC024E"/>
        <s v="ITH RAB334Z"/>
        <s v="JACK RAD085A"/>
        <s v="DON NZIZA UBD430A"/>
        <s v="MV LA PROMESSE"/>
        <s v="BAZITEYE COMPANY T153DVR"/>
        <s v="BAZITEYE COMPANY T167ECB"/>
        <s v="MISERCORDE DIVINE WOODEN BOAT"/>
        <s v="ITH TRADERS RAE969Z"/>
        <s v="ITH TRADERS LTD"/>
        <s v="ITH TRADERS LTD RAB834Z"/>
        <s v="ITH TRADERS LTD RAE969Z"/>
        <s v="BARAKA WOODEN BOAT"/>
        <s v=" TOGETHER BULDING ALIMINIUM"/>
        <s v="BUGUMA"/>
        <s v="LUKOGO"/>
        <s v="ITH TRADERS RAC024E"/>
        <s v="ITH TRADERS"/>
        <s v="BEST TAIFA RAG201M"/>
        <s v="BEST TAIFA F1910A"/>
        <s v="bahati jules rac605e"/>
        <s v="BEST TAIFA h8958a"/>
        <s v="SARAH ABDOUL"/>
        <s v="LA GLOIRE CONFIANCE TRADING RAH494R"/>
        <s v="MUSAFIRI RAI948Z"/>
        <s v="MUSAFIRI ANGLEBERT 2"/>
        <s v="MUSAFIRI"/>
        <s v="GAHUNGU BUSINESS RAF715Z"/>
        <s v="SARAH ABDOUL RAf923x"/>
        <s v="NYYVO BUSINESS"/>
        <s v="COOPERATIVE INGUNGURU TWITEZIMBERE  BARAKA WOODEN BOAT"/>
        <s v="NYVVO BUSINESS RAG948H"/>
        <s v="MADRAS MATERIALS RAB978J"/>
        <s v="NYYVO BUSINESS RAD085E"/>
        <s v="MUGISHO BALIBUNO"/>
        <s v="DYLAN HARDWARE RAH386G"/>
        <s v="DYLAN HARDWARE"/>
        <s v="DYLAN HARDWARE BUGOMA COMPANY"/>
        <s v="RIJO COMPANY  CGO7683AF19"/>
        <s v="ITH TRADERS RAC128B"/>
        <s v="M V TUWOMBE MUNGU II"/>
        <s v="LA GLOIRE CONFIANCE           RAH787U"/>
        <s v="RIJO COMPANY CGO7683AF19"/>
        <s v="SAMUEL NATHAN CGO7130AA02"/>
        <s v="SAMUEL NATHAN"/>
        <s v="CHUMVI SALT RAC268X"/>
        <s v="CHUMVI SALT"/>
        <s v="ITH TRADERS   RAE969Z"/>
        <s v="PLASMACO LTD"/>
        <s v="ITH"/>
        <s v="N and J TRADING HOUSE COMPANY RAF499J"/>
        <s v="AMANI KWETU"/>
        <s v="NYYVO BUSINESS RAE209W"/>
        <s v="LA GLOIRE CONFIANCE RAH787U"/>
        <s v="UA BETTER COMPANY RAE710F"/>
        <s v="UA BETTER COMPANY RAB352U"/>
      </sharedItems>
    </cacheField>
    <cacheField name="Bank Ref No" numFmtId="0">
      <sharedItems>
        <s v="AF82820"/>
        <s v="FTCM25252JH5RLUGJ"/>
        <s v="FTCM25258RAAOLZVE"/>
        <s v="FTCM25244Y3PIVZMR"/>
        <s v="FTCM25244LV6D9YEL"/>
        <s v="FTCM25244X2WFBBSN"/>
        <s v="FTCM252444QHIOUJU"/>
        <s v="FTCM25244WNJU8ELV"/>
        <s v="FTCM25244YLFRV627"/>
        <s v="FTCM25245NGN1OWRV"/>
        <s v="FTCM25245C8UIW1Z3"/>
        <s v="FTCM25245RXBRM278"/>
        <s v="FTCM252452NIHC1BA"/>
        <s v="FTCM25245GVGRP4WR"/>
        <s v="FTCM252455AEMD2Y1"/>
        <s v="FTCM25245VROFY5CV"/>
        <s v="FTCM25245IPNEGAWZ"/>
        <s v="FTCM252469JOKDSPR"/>
        <s v="FTCM252463WHAZMJF"/>
        <s v="FTCM25246KXMRVOBK"/>
        <s v="FTCM252469IBKHXME"/>
        <s v="FTCM25246IVOQZB9L"/>
        <s v="FTCM25246AAVAQSTF"/>
        <s v="FTCM25246YOMPRIUS"/>
        <s v="FTCM25246ANWV0E9T"/>
        <s v="FTCM25246ROE5MHN8"/>
        <s v="FTCM252473UAARYNT"/>
        <s v="FTCM25247ZE66U7RJ"/>
        <s v="FTCM25247WSAPAEYQ"/>
        <s v="FTCM25247ZFLFM4B2"/>
        <s v="FTCM25247JKKMRACD"/>
        <s v="FTCM25247VCTWSCCV"/>
        <s v="FTCM252471KTXOYOD"/>
        <s v="FTCM25247V9C0USJU"/>
        <s v="FTCM252470V0GF6UB"/>
        <s v="FTCM252479W5RCLHX"/>
        <s v="FTCM25247HQDT0EYM"/>
        <s v="FTCM25247L5I01BQF"/>
        <s v="FTCM25248UBW6EHXZ"/>
        <s v="FTCM2524800XETUJ9"/>
        <s v="FTCM25248DANGDQHR"/>
        <s v="FTCM25249VLBNEMAJ"/>
        <s v="FTCM25249WMWOCWKQ"/>
        <s v="FTCM25249MTL3HMYQ"/>
        <s v="FTCM25249UHESYNRT"/>
        <s v="FTCM25249XTVM605J"/>
        <s v="FTCM25249NG4D1UWO"/>
        <s v="FTCM25250OH1GIDFX"/>
        <s v="FTCM252504MBLSKTG"/>
        <s v="FTCM25250Q3PB1VFL"/>
        <s v="FTCM25250VPNCAJVQ"/>
        <s v="FTCM25250SCAZ5IUP"/>
        <s v="FTCM25250MUDHP0AH"/>
        <s v="FTCM2525057NBVB5G"/>
        <s v="FTCM25250HB5JZ2W9"/>
        <s v="FTCM252502JESLAAT"/>
        <s v="FTCM25251LV92SVOH"/>
        <s v="FTCM25251A71WHTRY"/>
        <s v="FTCM25251TLJMSXG9"/>
        <s v="FTCM25251NAZL0LWK"/>
        <s v="FTCM25251QENBR1UM"/>
        <s v="FTCM25251KJKQL6GT"/>
        <s v="FTCM25251SEURGZ2W"/>
        <s v="FTCM252511WSAGAP3"/>
        <s v="FTCM25252YI88V8HK"/>
        <s v="FTCM25252RJ8JEJH9"/>
        <s v="FTCM2525236YSBPUW"/>
        <s v="FTCM25253YJTLMXMJ"/>
        <s v="FTCM25253GNBTC46T"/>
        <s v="FTCM25253ANCTD3HC"/>
        <s v="FTCM25253U2TAY345"/>
        <s v="FTCM25253WOMUMEZX"/>
        <s v="FTCM25254IASKPUPJ"/>
        <s v="FTCM25254L6CBPS6E"/>
        <s v="FTCM25254FHPQLJON"/>
        <s v="FTCM25254ESSUI4QS"/>
        <s v="FTCM25256V9AKR5UH"/>
        <s v="FTCM25256QH3M2SIW"/>
        <s v="FTCM25256AVI7XEZI"/>
        <s v="FTCM25256BZ67VOPY"/>
        <s v="FTCM25256GJR6SGXH"/>
        <s v="FTCM2525776MJLEA9"/>
        <s v="FTCM25257JIY9YIK1"/>
        <s v="FTCM25257LXG4DETV"/>
        <s v="FTCM25257L3CJOL7D"/>
        <s v="FTCM25257WUEARYCS"/>
        <s v="FTCM25257N36YFP1E"/>
        <s v="FTCM252579YWO15R6"/>
        <s v="FTCM25257IVDFOT5H"/>
        <s v="FTCM252586BKNQNBC"/>
        <s v="FTCM252587EICK3MC"/>
        <s v="FTCM25258XKSDC6LZ"/>
        <s v="FTCM25258GGQ247TH"/>
        <s v="FTCM25258G0LHW6UB"/>
        <s v="FTCM25258OJDOQZOR"/>
        <s v="FTCM25258M9DFYWT3"/>
        <s v="FTCM25258CIRHFF88"/>
        <s v="202509150242878"/>
        <s v="FTCM252588XZS52BP"/>
        <s v="FTCM25259ZBPDDTQP"/>
        <s v="FTCM252590R8MVQGN"/>
        <s v="FTCM25259X37QQRWP"/>
        <s v="FTCM25259G2CRSUTX"/>
        <s v="FTCM25259US7KTJZI"/>
        <s v="FTCM25259MZI7BRXR"/>
        <s v="FTCM25259XXPU6PNJ"/>
        <s v="FTCM25259A7EZGFXO"/>
        <s v="FTCM25259IGC9PUXD"/>
        <s v="FTCM25259KYOJMO6B"/>
        <s v="FTCM2525971SMH6Z8"/>
        <s v="FTCM25259A6E0J0OB"/>
        <s v="FTCM25259H5B07NSG"/>
        <s v="FTCM252593EDBXOWF"/>
        <s v="FTCM25259NH5BI7XP"/>
        <s v="FTCM25259SYHG74WC"/>
        <s v="FTCM25259OF7PYROA"/>
        <s v="FTCM25259RUWGYH0O"/>
        <s v="FTCM25259CAFC4IEB"/>
        <s v="FTCM25259CQINTMQI"/>
        <s v="FTCM25259X6WOKFU9"/>
        <s v="FTCM25259HOUXIFHI"/>
        <s v="FTCM25259AKIQDPTS"/>
        <s v="FTCM25259UJCDE0RG"/>
        <s v="FTCM25259GCAI6XSC"/>
        <s v="FTCM25259701OJPWA"/>
        <s v="FTCM25259RBAJCRPQ"/>
        <s v="FTCM25259N80IC6UT"/>
        <s v="FTCM25259WPB8293A"/>
        <s v="FTCM25259POS8RDIY"/>
        <s v="FTCM25259FVJLCVHY"/>
        <s v="FTCM25259MZ7D6EXV"/>
        <s v="FTCM25259AI64YI78"/>
        <s v="FTCM25260AZVZ0TMY"/>
        <s v="FTCM25260D0VABJRH"/>
        <s v="FTCM25260DQXC4X9C"/>
        <s v="FTCM25260OJM9PEUF"/>
        <s v="FTCM252609QG7SC8M"/>
        <s v="FTCM25260KMC5AJRU"/>
        <s v="FTCM25260GD1JLW5E"/>
        <s v="FTCM25260DR2UVSQR"/>
        <s v="FTCM25260VBA4PWHZ"/>
        <s v="FTCM25261DDKHEWV6"/>
        <s v="FTCM25261UDNHFWQ0"/>
        <s v="FTCM252613FR4O1XT"/>
        <s v="FTCM252613PISULGG"/>
        <s v="FTCM252613VJHV4DE"/>
        <s v="FTCM25261T7MM66OC"/>
        <s v="FTCM25261RNLZX3NK"/>
        <s v="FTCM25261STSFRJLY"/>
        <s v="FTCM25261HEQ9FJOA"/>
        <s v="FTCM25261PVIM9VMT"/>
        <s v="FTCM25263QQM79IRJ"/>
        <s v="FTCM25263PHBTYQVJ"/>
        <s v="FTCM25263AE3XWQBS"/>
        <s v="FTCM25263JGABVY3D"/>
        <s v="FTCM25263BI6LRDXE"/>
        <s v="FTCM25263FFF48PWI"/>
        <s v="FTCM25263BDHJ9RVL"/>
        <s v="FTCM25263ORBFC7OB"/>
        <s v="FTCM25264EDBIRTUC"/>
        <s v="FTCM25264EVODEVME"/>
        <s v="FTCM25264HQITS88N"/>
        <s v="FTCM25264ARZ46RRG"/>
        <s v="FTCM25264R3BGIN6I"/>
        <s v="FTCM252647I88NE77"/>
        <s v="FTCM252650EEKVNVT"/>
        <s v="FTCM25265HSLVEWT5"/>
        <s v="FTCM25265FLG9WTPU"/>
        <s v="FTCM25265AXKSPRIP"/>
        <s v="FTCM25265PXIG6OKV"/>
        <s v="FTCM25266UV2CMIJM"/>
        <s v="FTCM252669WQHBW5F"/>
        <s v="FTCM25266MRXAHVCF"/>
        <s v="FTCM25266PYHE45ZV"/>
        <s v="FTCM25266TWN3JXF7"/>
        <s v="FTCM25266S0VCUFSA"/>
        <s v="FTCM25266RLKTZHOX"/>
        <s v="FTCM25266TQXQCMMA"/>
        <s v="FTCM25267RQWXHVED"/>
        <s v="FTCM25267VBJWOTZQ"/>
        <s v="FTCM25267EEFRBEXO"/>
        <s v="FTCM25267RJQY8FOH"/>
        <s v="FTCM25268QOZ5EHHI"/>
        <s v="FTCM25268ENZAYFBB"/>
        <s v="FTCM25268XOZIKMYB"/>
        <s v="FTCM252684ZYJLD9P"/>
        <s v="FTCM25268FL0HB9MT"/>
        <s v="FTCM25268P3L8TFNS"/>
        <s v="FTCM25269UA5WNGCN"/>
        <s v="FTCM25269VX1DLSRP"/>
        <s v="FTCM25269OFSWW2HT"/>
        <s v="FTCM25269LERRSRYN"/>
        <s v="FTCM252695IJA8JDC"/>
        <s v="FTCM25269QTI5ANNA"/>
        <s v="FTCM25271FKRYRSGD"/>
        <s v="FTCM252716GUR9J13"/>
        <s v="FTCM25271Q2L74RYV"/>
        <s v="FTCM25271VWAUAVYG"/>
        <s v="FTCM25271MGRGANKD"/>
        <s v="FTCM25271VIVHPXJ9"/>
        <s v="FTCM252721C2YBJQJ"/>
        <s v="FTCM25272KZKNR5FN"/>
        <s v="FTCM25272QLMUWUUH"/>
        <s v="FTCM25272OWSKWMLX"/>
        <s v="FTCM25272B9RT5OSD"/>
        <s v="FTCM252721T1XGPVS"/>
        <s v="FTCM25272AOTYRFVU"/>
        <s v="FTCM25272YIUZYCWW"/>
        <s v="FTCM25272B1RNBTHD"/>
        <s v="FTCM25272ABMFPJC1"/>
        <s v="FTCM252726WU9EBFI"/>
        <s v="FTCM25272KUIHHYC6"/>
        <s v="FTCM25272GDKVNGR8"/>
        <s v="FTCM25272XX4NLMXI"/>
        <s v="FTCM252724WGPUFRM"/>
        <s v="FTCM25272IJBPMJXY"/>
        <s v="FTCM252723VXBBFG0"/>
        <s v="FTCM25272J6FJEB2Q"/>
        <s v="FTCM25272LRJE33GU"/>
        <s v="FTCM25272FP0UZGW8"/>
        <s v="FTCM25273FGO1ERLM"/>
        <s v="FTCM25273GTZPWQHR"/>
        <s v="FTCM25273SXUXRMOM"/>
        <s v="FTCM25273ZP6FWAYQ"/>
        <s v="FTCM25273QLHQFS24"/>
        <s v="FTCM25273JOTFETMW"/>
        <s v="FTCM252730SUOVSE2"/>
        <s v="FTCM25273LWTXHTWJ"/>
        <s v="FTCM25273IETDYOBH"/>
        <s v="FTCM252731FILENDB"/>
        <s v="FTCM25273IFKJIHCK"/>
        <s v="FTCM25273FCQLLFOH"/>
        <s v="FTCM25273EEFWPTKX"/>
        <s v="FTCM25273G52O5XGE"/>
        <s v="FTCM25273JMX4DPEZ"/>
        <s v="FTCM25273XEATWEGI"/>
        <s v="FTCM25273HTWT9AMK"/>
        <s v="FTCM252734PBFS0DA"/>
        <s v="FTCM25273JKHYNE2U"/>
        <s v="FTCM25273AXNU0UPK"/>
        <s v="FTCM25273ITYLPE0P"/>
        <s v="FTCM25273BONCGE6H"/>
        <s v="FTCM25273WQAJKJRN"/>
        <s v="FTCM25273QEWGJGAN"/>
        <s v="FTCM252731UWBJNCQ"/>
        <s v="FTCM25273EKJDJJ4V"/>
        <s v="FTCM25273Q0QFF47B"/>
        <s v="FTCM25273CYGUP8FN"/>
        <s v="FTCM25273PF1QPNRQ"/>
      </sharedItems>
    </cacheField>
    <cacheField name="Service" numFmtId="0">
      <sharedItems>
        <s v="Restaurant"/>
        <s v="Office"/>
        <s v="Truck Parking (Per 12 Hours)"/>
        <s v="Transshipment (1-Way) - For Sacks and Bags Below 100kg Except Rwandan Cement"/>
        <s v="Export (1-Way) - For Laden Cartons and Construction Materials"/>
        <s v="Transshipment (1-Way) - For Laden Cartons and Construction Materials"/>
        <s v="Barge Berthing (Barges Not More Than 60m LOA) - Period More Than 3 Days"/>
        <s v="Wharfage (Barges not more than 60m LOA) - One Time Docking Charge"/>
        <s v="Export (1-Way) - For Sacks and Bags Below 100kg"/>
      </sharedItems>
    </cacheField>
    <cacheField name="Tax Center" numFmtId="0">
      <sharedItems>
        <s v="Rubavu"/>
      </sharedItems>
    </cacheField>
    <cacheField name="Payment Date" numFmtId="0">
      <sharedItems>
        <s v="11-Sep-2025"/>
        <s v="09-Sep-2025"/>
        <s v="15-Sep-2025"/>
        <s v="01-Sep-2025"/>
        <s v="02-Sep-2025"/>
        <s v="03-Sep-2025"/>
        <s v="04-Sep-2025"/>
        <s v="05-Sep-2025"/>
        <s v="06-Sep-2025"/>
        <s v="07-Sep-2025"/>
        <s v="08-Sep-2025"/>
        <s v="10-Sep-2025"/>
        <s v="13-Sep-2025"/>
        <s v="14-Sep-2025"/>
        <s v="16-Sep-2025"/>
        <s v="17-Sep-2025"/>
        <s v="18-Sep-2025"/>
        <s v="20-Sep-2025"/>
        <s v="21-Sep-2025"/>
        <s v="22-Sep-2025"/>
        <s v="23-Sep-2025"/>
        <s v="24-Sep-2025"/>
        <s v="25-Sep-2025"/>
        <s v="26-Sep-2025"/>
        <s v="28-Sep-2025"/>
        <s v="29-Sep-2025"/>
        <s v="30-Sep-2025"/>
      </sharedItems>
    </cacheField>
    <cacheField name="Amount" numFmtId="164">
      <sharedItems containsSemiMixedTypes="0" containsString="0" containsNumber="1" containsInteger="1">
        <n v="100000.0"/>
        <n v="120000.0"/>
        <n v="5000.0"/>
        <n v="15000.0"/>
        <n v="63000.0"/>
        <n v="10240.0"/>
        <n v="4352.0"/>
        <n v="4080.0"/>
        <n v="65000.0"/>
        <n v="81600.0"/>
        <n v="73950.0"/>
        <n v="4000.0"/>
        <n v="12656.0"/>
        <n v="712.0"/>
        <n v="45000.0"/>
        <n v="56000.0"/>
        <n v="14552.0"/>
        <n v="12720.0"/>
        <n v="10000.0"/>
        <n v="50740.0"/>
        <n v="12160.0"/>
        <n v="25000.0"/>
        <n v="28000.0"/>
        <n v="210000.0"/>
        <n v="14008.0"/>
        <n v="168000.0"/>
        <n v="40800.0"/>
        <n v="21498.0"/>
        <n v="3200.0"/>
        <n v="12400.0"/>
        <n v="12834.0"/>
        <n v="3328.0"/>
        <n v="2765.0"/>
        <n v="54000.0"/>
        <n v="1280.0"/>
        <n v="16000.0"/>
        <n v="13056.0"/>
        <n v="60504.0"/>
        <n v="32184.0"/>
        <n v="45446.0"/>
        <n v="9920.0"/>
        <n v="1600.0"/>
        <n v="2000.0"/>
        <n v="70000.0"/>
        <n v="21974.0"/>
        <n v="14000.0"/>
        <n v="7000.0"/>
        <n v="20000.0"/>
        <n v="16662.0"/>
        <n v="50000.0"/>
        <n v="42000.0"/>
        <n v="1000.0"/>
        <n v="6000.0"/>
        <n v="10752.0"/>
        <n v="10496.0"/>
        <n v="35000.0"/>
        <n v="3431.0"/>
        <n v="13600.0"/>
        <n v="1448.0"/>
        <n v="64000.0"/>
        <n v="62080.0"/>
        <n v="30000.0"/>
        <n v="2518.0"/>
        <n v="5100.0"/>
        <n v="1200.0"/>
        <n v="12000.0"/>
        <n v="24000.0"/>
        <n v="336000.0"/>
        <n v="7200.0"/>
        <n v="33600.0"/>
        <n v="41600.0"/>
        <n v="2526.0"/>
        <n v="46800.0"/>
      </sharedItems>
    </cacheField>
    <cacheField name="Currency" numFmtId="0">
      <sharedItems>
        <s v="RWF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9:E418" sheet="Port Sys"/>
  </cacheSource>
  <cacheFields>
    <cacheField name="Date" numFmtId="0">
      <sharedItems>
        <s v="09/01/2025, 13:28:09"/>
        <s v="09/01/2025, 13:31:05"/>
        <s v="09/01/2025, 13:36:42"/>
        <s v="09/01/2025, 13:47:40"/>
        <s v="09/01/2025, 13:49:25"/>
        <s v="09/01/2025, 13:55:05"/>
        <s v="09/02/2025, 11:00:33"/>
        <s v="09/02/2025, 11:11:41"/>
        <s v="09/02/2025, 11:13:03"/>
        <s v="09/02/2025, 11:26:27"/>
        <s v="09/02/2025, 14:55:36"/>
        <s v="09/02/2025, 15:05:28"/>
        <s v="09/02/2025, 15:08:15"/>
        <s v="09/02/2025, 15:17:47"/>
        <s v="09/03/2025, 11:24:26"/>
        <s v="09/03/2025, 11:34:33"/>
        <s v="09/03/2025, 11:39:05"/>
        <s v="09/03/2025, 11:44:54"/>
        <s v="09/03/2025, 13:43:19"/>
        <s v="09/03/2025, 13:49:31"/>
        <s v="09/03/2025, 13:56:14"/>
        <s v="09/03/2025, 14:04:03"/>
        <s v="09/03/2025, 14:19:20"/>
        <s v="09/03/2025, 14:54:01"/>
        <s v="09/04/2025, 12:10:37"/>
        <s v="09/04/2025, 12:19:30"/>
        <s v="09/04/2025, 12:20:01"/>
        <s v="09/04/2025, 12:51:02"/>
        <s v="09/04/2025, 13:01:48"/>
        <s v="09/04/2025, 13:22:14"/>
        <s v="09/04/2025, 13:59:51"/>
        <s v="09/04/2025, 14:05:05"/>
        <s v="09/04/2025, 14:08:10"/>
        <s v="09/04/2025, 14:13:46"/>
        <s v="09/04/2025, 14:46:47"/>
        <s v="09/05/2025, 08:50:07"/>
        <s v="09/05/2025, 08:56:58"/>
        <s v="09/05/2025, 22:00:00"/>
        <s v="09/06/2025, 14:19:00"/>
        <s v="09/06/2025, 22:00:00"/>
        <s v="09/07/2025, 10:10:00"/>
        <s v="09/07/2025, 11:02:00"/>
        <s v="09/07/2025, 12:00:00"/>
        <s v="09/07/2025, 22:00:00"/>
        <s v="09/08/2025, 08:09:00"/>
        <s v="09/08/2025, 12:09:00"/>
        <s v="09/08/2025, 14:09:00"/>
        <s v="09/08/2025, 14:10:00"/>
        <s v="09/08/2025, 22:00:00"/>
        <s v="09/09/2025, 13:09:00"/>
        <s v="09/09/2025, 22:00:00"/>
        <s v="09/10/2025, 09:55:00"/>
        <s v="09/10/2025, 09:58:00"/>
        <s v="09/10/2025, 12:09:00"/>
        <s v="09/10/2025, 22:00:00"/>
        <s v="09/11/2025, 10:01:00"/>
        <s v="09/11/2025, 10:52:00"/>
        <s v="09/12/2025, 22:00:00"/>
        <s v="09/13/2025, 15:54:00"/>
        <s v="09/13/2025, 16:09:00"/>
        <s v="09/13/2025, 22:00:00"/>
        <s v="09/14/2025, 09:09:00"/>
        <s v="09/14/2025, 11:26:00"/>
        <s v="09/14/2025, 13:09:00"/>
        <s v="09/14/2025, 22:00:00"/>
        <s v="09/15/2025, 11:09:00"/>
        <s v="09/15/2025, 11:10:00"/>
        <s v="09/15/2025, 15:10:00"/>
        <s v="09/15/2025, 15:32:00"/>
        <s v="09/15/2025, 22:00:00"/>
        <s v="09/16/2025, 06:09:00"/>
        <s v="09/16/2025, 06:34:00"/>
        <s v="09/16/2025, 06:39:00"/>
        <s v="09/16/2025, 06:48:00"/>
        <s v="09/16/2025, 07:03:00"/>
        <s v="09/16/2025, 09:01:00"/>
        <s v="09/16/2025, 09:12:00"/>
        <s v="09/16/2025, 09:30:00"/>
        <s v="09/16/2025, 10:30:00"/>
        <s v="09/16/2025, 12:09:00"/>
        <s v="09/16/2025, 12:10:00"/>
        <s v="09/16/2025, 13:29:00"/>
        <s v="09/16/2025, 14:07:00"/>
        <s v="09/16/2025, 14:52:00"/>
        <s v="09/16/2025, 22:00:00"/>
        <s v="09/17/2025, 07:37:00"/>
        <s v="09/17/2025, 07:44:00"/>
        <s v="09/17/2025, 11:06:00"/>
        <s v="09/17/2025, 13:09:00"/>
        <s v="09/17/2025, 13:21:00"/>
        <s v="09/17/2025, 22:00:00"/>
        <s v="09/18/2025, 09:09:00"/>
        <s v="09/18/2025, 09:10:00"/>
        <s v="09/18/2025, 10:01:00"/>
        <s v="09/18/2025, 12:23:00"/>
        <s v="09/18/2025, 14:14:00"/>
        <s v="09/19/2025, 22:00:00"/>
        <s v="09/20/2025, 04:02:00"/>
        <s v="09/20/2025, 04:10:00"/>
        <s v="09/20/2025, 12:49:00"/>
        <s v="09/20/2025, 13:26:00"/>
        <s v="09/20/2025, 22:00:00"/>
        <s v="09/21/2025, 10:09:00"/>
        <s v="09/21/2025, 11:09:00"/>
        <s v="09/21/2025, 12:09:00"/>
        <s v="09/21/2025, 22:00:00"/>
        <s v="09/22/2025, 10:09:00"/>
        <s v="09/22/2025, 10:37:00"/>
        <s v="09/22/2025, 14:15:00"/>
        <s v="09/22/2025, 22:00:00"/>
        <s v="09/23/2025, 09:11:00"/>
        <s v="09/23/2025, 11:09:00"/>
        <s v="09/23/2025, 12:09:00"/>
        <s v="09/23/2025, 22:00:00"/>
        <s v="09/24/2025, 09:09:00"/>
        <s v="09/24/2025, 14:09:00"/>
        <s v="09/24/2025, 14:41:28"/>
        <s v="09/25/2025, 08:10:47"/>
        <s v="09/25/2025, 08:15:30"/>
        <s v="09/25/2025, 08:17:02"/>
        <s v="09/25/2025, 09:32:28"/>
        <s v="09/25/2025, 10:08:02"/>
        <s v="09/25/2025, 10:19:52"/>
        <s v="09/25/2025, 10:30:47"/>
        <s v="09/25/2025, 11:14:13"/>
        <s v="09/25/2025, 13:13:17"/>
        <s v="09/25/2025, 22:00:00"/>
        <s v="09/26/2025, 08:04:52"/>
        <s v="09/26/2025, 08:22:52"/>
        <s v="09/26/2025, 08:24:24"/>
        <s v="09/26/2025, 08:26:17"/>
        <s v="09/28/2025, 07:22:18"/>
        <s v="09/28/2025, 09:29:08"/>
        <s v="09/28/2025, 13:05:20"/>
        <s v="09/28/2025, 13:11:47"/>
        <s v="09/28/2025, 13:20:17"/>
        <s v="09/28/2025, 13:24:17"/>
        <s v="09/28/2025, 13:28:09"/>
        <s v="09/29/2025, 06:12:55"/>
        <s v="09/29/2025, 06:19:15"/>
        <s v="09/29/2025, 06:34:02"/>
        <s v="09/29/2025, 06:37:26"/>
        <s v="09/29/2025, 08:25:32"/>
        <s v="09/29/2025, 08:30:58"/>
        <s v="09/29/2025, 08:37:16"/>
        <s v="09/29/2025, 08:47:54"/>
        <s v="09/29/2025, 10:20:14"/>
        <s v="09/29/2025, 11:13:44"/>
        <s v="09/29/2025, 12:19:42"/>
        <s v="09/29/2025, 13:13:43"/>
        <s v="09/29/2025, 13:22:06"/>
        <s v="09/29/2025, 13:57:44"/>
        <s v="09/29/2025, 14:02:54"/>
        <s v="09/29/2025, 14:21:37"/>
        <s v="09/29/2025, 14:53:39"/>
        <s v="09/29/2025, 22:00:00"/>
        <s v="09/30/2025, 05:25:45"/>
        <s v="09/30/2025, 05:29:56"/>
        <s v="09/30/2025, 05:50:55"/>
        <s v="09/30/2025, 05:53:59"/>
        <s v="09/30/2025, 07:13:42"/>
        <s v="09/30/2025, 07:19:00"/>
        <s v="09/30/2025, 07:24:45"/>
        <s v="09/30/2025, 07:32:24"/>
        <s v="09/30/2025, 10:29:36"/>
        <s v="09/30/2025, 10:38:51"/>
        <s v="09/30/2025, 11:15:47"/>
        <s v="09/30/2025, 11:27:00"/>
        <s v="09/30/2025, 11:34:00"/>
        <s v="09/30/2025, 11:39:47"/>
        <s v="09/30/2025, 11:53:09"/>
        <s v="09/30/2025, 12:09:29"/>
        <s v="09/30/2025, 12:11:57"/>
        <s v="09/30/2025, 12:12:27"/>
        <s v="09/30/2025, 12:29:03"/>
        <s v="09/30/2025, 13:19:18"/>
        <s v="09/30/2025, 13:22:41"/>
        <s v="09/30/2025, 13:26:25"/>
        <s v="09/30/2025, 13:32:54"/>
        <s v="09/30/2025, 14:05:23"/>
        <s v="09/30/2025, 14:23:54"/>
        <s v="09/30/2025, 14:40:23"/>
        <s v="09/30/2025, 14:42:17"/>
        <s v="10/01/2025, 06:34:43"/>
        <s v="10/01/2025, 06:36:54"/>
        <s v="10/01/2025, 06:40:46"/>
        <s v="10/01/2025, 06:47:36"/>
        <s v="10/01/2025, 08:48:55"/>
        <s v="10/01/2025, 08:52:31"/>
        <s v="10/01/2025, 11:52:03"/>
        <s v="10/01/2025, 12:00:54"/>
        <s v="10/01/2025, 12:07:40"/>
        <s v="10/01/2025, 12:18:04"/>
        <s v="10/01/2025, 13:14:29"/>
        <s v="10/01/2025, 13:17:12"/>
        <s v="10/01/2025, 13:42:14"/>
        <s v="10/01/2025, 14:39:42"/>
        <s v="10/01/2025, 14:42:59"/>
        <s v="10/01/2025, 14:48:23"/>
        <s v="10/02/2025, 09:10:41"/>
        <s v="10/02/2025, 09:13:46"/>
        <s v="10/02/2025, 09:17:14"/>
        <s v="10/02/2025, 09:20:23"/>
        <s v="10/02/2025, 10:59:35"/>
        <s v="10/02/2025, 11:04:31"/>
        <s v="10/02/2025, 12:17:03"/>
        <s v="10/02/2025, 12:33:04"/>
        <s v="10/02/2025, 12:39:17"/>
        <s v="10/03/2025, 12:39:46"/>
        <s v="10/03/2025, 12:40:37"/>
        <s v="10/03/2025, 12:43:19"/>
        <s v="10/03/2025, 12:44:51"/>
        <s v="10/04/2025, 10:22:11"/>
        <s v="10/04/2025, 10:37:14"/>
        <s v="10/04/2025, 15:19:04"/>
        <s v="10/04/2025, 15:28:27"/>
        <s v="10/04/2025, 15:42:25"/>
        <s v="10/04/2025, 15:45:02"/>
        <s v="10/04/2025, 22:00:00"/>
        <s v="10/06/2025, 06:10:00"/>
        <s v="10/06/2025, 07:39:00"/>
        <s v="10/06/2025, 09:33:00"/>
        <s v="10/06/2025, 12:38:10"/>
        <s v="10/06/2025, 12:41:41"/>
        <s v="10/06/2025, 13:14:35"/>
        <s v="10/06/2025, 13:19:17"/>
        <s v="10/06/2025, 15:20:12"/>
        <s v="10/06/2025, 15:24:44"/>
        <s v="10/06/2025, 16:03:22"/>
        <s v="10/07/2025, 09:38:01"/>
        <s v="10/07/2025, 10:21:41"/>
        <s v="10/08/2025, 08:04:05"/>
        <s v="10/08/2025, 08:09:06"/>
        <s v="10/08/2025, 09:09:36"/>
        <s v="10/08/2025, 09:17:30"/>
        <s v="10/08/2025, 09:40:23"/>
        <s v="10/08/2025, 09:44:33"/>
        <s v="10/08/2025, 09:53:17"/>
        <s v="10/09/2025, 08:39:57"/>
        <s v="10/09/2025, 08:55:09"/>
        <s v="10/09/2025, 10:05:30"/>
        <s v="10/09/2025, 10:18:05"/>
        <s v="10/09/2025, 11:25:55"/>
        <s v="10/09/2025, 11:38:40"/>
        <s v="10/09/2025, 11:47:46"/>
        <s v="10/09/2025, 12:18:49"/>
        <s v="10/09/2025, 12:29:09"/>
        <s v="10/09/2025, 13:16:18"/>
        <s v="10/09/2025, 13:23:07"/>
        <s v="10/09/2025, 13:42:18"/>
        <s v="10/09/2025, 14:30:41"/>
        <s v="10/09/2025, 14:37:34"/>
        <s v="10/09/2025, 14:47:32"/>
        <s v="10/09/2025, 14:50:16"/>
        <s v="10/10/2025, 10:09:39"/>
        <s v="10/10/2025, 10:17:51"/>
        <s v="10/10/2025, 12:52:34"/>
        <s v="10/10/2025, 13:02:23"/>
        <s v="10/11/2025, 10:33:13"/>
        <s v="10/11/2025, 11:04:59"/>
        <s v="10/11/2025, 13:06:05"/>
        <s v="10/11/2025, 13:20:30"/>
        <s v="10/12/2025, 13:26:11"/>
        <s v="10/12/2025, 13:51:11"/>
        <s v="10/12/2025, 13:55:20"/>
        <s v="10/12/2025, 14:01:51"/>
        <s v="10/12/2025, 14:15:41"/>
        <s v="10/12/2025, 14:20:33"/>
        <s v="10/13/2025, 07:03:12"/>
        <s v="10/13/2025, 07:04:45"/>
        <s v="10/13/2025, 07:06:28"/>
        <s v="10/13/2025, 12:01:29"/>
        <s v="10/14/2025, 09:03:19"/>
        <s v="10/14/2025, 10:43:47"/>
        <s v="10/14/2025, 14:38:54"/>
        <s v="10/15/2025, 09:31:05"/>
        <s v="10/15/2025, 10:00:49"/>
        <s v="10/15/2025, 10:51:01"/>
        <s v="10/15/2025, 11:20:50"/>
      </sharedItems>
    </cacheField>
    <cacheField name="Client Name" numFmtId="0">
      <sharedItems>
        <s v="RAG812N"/>
        <s v="KDG169V"/>
        <s v="SARAH ABDOUL"/>
        <s v="BEST TAIFA"/>
        <s v="KND784W"/>
        <s v="RAH781U"/>
        <s v="LA GLOIRE CONFIANCE"/>
        <s v="RAH787U"/>
        <s v="UBE384P"/>
        <s v="BAHATI JULES"/>
        <s v="RAH497R"/>
        <s v="LA GLOIRE CONFIANCE TRADING"/>
        <s v="RAF062L"/>
        <s v="RAH499R"/>
        <s v="MADRAS MATERIALS"/>
        <s v="RAA443J"/>
        <s v="UMUTONI GENERAL TRADING"/>
        <s v="UBH566L"/>
        <s v="ROOFING ROLLING"/>
        <s v="MALINI WATU"/>
        <s v="RAG205P"/>
        <s v="RAI407D"/>
        <s v="RAI408D"/>
        <s v="RAI629A"/>
        <s v="ARNY STAR BUSINESS"/>
        <s v="BAHATI JIRESSE MOSEKA"/>
        <s v="UBJ761P"/>
        <s v="LA PROMESSE"/>
        <s v="RAE533D"/>
        <s v="JIRESSE"/>
        <s v="ITH TRADERS"/>
        <s v="QUINCAILLERIE YACU"/>
        <s v="RIJO COMPANY"/>
        <s v="KIGALI CERAMICS Ltd"/>
        <s v="KDQ455M"/>
        <s v="MEGA TWITEZIMBERE"/>
        <s v="chantal uwineza"/>
        <s v="RAI789N"/>
        <s v="RAH279Q"/>
        <s v="RAH442D"/>
        <s v="NOAH AND CLOUDE"/>
        <s v="ith"/>
        <s v="KAYENZI SHOP"/>
        <s v="INGABIRE GENERAL"/>
        <s v="IWAWA"/>
        <s v="BYOTE BINATOKA KWA MUNGU"/>
        <s v="RAC024E"/>
        <s v="RAC138I"/>
        <s v="AMANI KWETU"/>
        <s v="STAR GENERAL SUPPLIERS"/>
        <s v="KAMUNTU"/>
        <s v="CHANTAL"/>
        <s v="KRYSTALLINE SALT LIMETED"/>
        <s v="RAF562C"/>
        <s v="KAMUNDU"/>
        <s v="RAF923X"/>
        <s v="MPOWER STEEL COMPANY"/>
        <s v="RAI531M"/>
        <s v="UBJ135Q"/>
        <s v="BAKHRESA GRAIN MILLING"/>
        <s v="N &amp; J TRADING HOUSE COMPANY"/>
        <s v="KIGALI CERAMICS"/>
        <s v="HERITIER SAHANI"/>
        <s v="RAF499J"/>
        <s v="UA081AG"/>
        <s v="STATION BELLE VIE"/>
        <s v="RAH695K"/>
        <s v="RAE463E"/>
        <s v="RAE522H"/>
        <s v="MISERCORDE LA DIVINE"/>
        <s v="TRIDUM COMPANY"/>
        <s v="BAHATI MOSEKA JIRESSE"/>
        <s v="CHUMVI SAFI"/>
        <s v="RAG950U"/>
        <s v="RAG930U"/>
        <s v="RAD085A"/>
        <s v="RAI389A"/>
        <s v="UMUTONI GENERAL"/>
        <s v="nyota shop"/>
        <s v="RAYMOND BIKAMI"/>
        <s v="DON NZIZA"/>
        <s v="JACK"/>
        <s v="BAZITEYE COMPANY"/>
        <s v="RAC128B"/>
        <s v="RAE969Z"/>
        <s v="RAB334Z"/>
        <s v="UBD430A"/>
        <s v="MISECRORDE DIVINE "/>
        <s v="T153DVR"/>
        <s v="T167ECB"/>
        <s v="DUFATANYE"/>
        <s v="RAYMOND BIKONO"/>
        <s v="IGETRA"/>
        <s v="RAB834Z"/>
        <s v="BARAKA"/>
        <s v="SADIKI"/>
        <s v="ARNY STAR BUSINESS CO"/>
        <s v="OBOMA"/>
        <s v="FAITH TRADING"/>
        <s v="KAC GENERAL"/>
        <s v="TOGETHER BUILDING ALUMINIUM"/>
        <s v="BEST TAIFA "/>
        <s v="RAH386G"/>
        <s v="BUGUMA COMPANY"/>
        <s v="RAG201M"/>
        <s v="F1910A"/>
        <s v="RAC605E"/>
        <s v="H8958A"/>
        <s v="RAI731U"/>
        <s v="RAH494R"/>
        <s v="FAITH TRADING COMPANY"/>
        <s v="MUSAFIRI"/>
        <s v="RAI948Z"/>
        <s v="ANGLEBERT"/>
        <s v="GAHUNGU BUSINESS"/>
        <s v="RAYMOND"/>
        <s v="COOPERATIVE INGUNGURU TWITEZIMBERE"/>
        <s v="NYYVO BUSINESS Ltd"/>
        <s v="RAF715Z"/>
        <s v="RAG948H"/>
        <s v="emmanuel trading"/>
        <s v="HABIYAREMYE JEAN D'AMOUR"/>
        <s v="MADRAS MATERIALS Ltd"/>
        <s v="RAB978J"/>
        <s v="RAD085E"/>
        <s v="RUKOGO"/>
        <s v="RWANDA SPECIAL MATERIALS"/>
        <s v="T557EFP"/>
        <s v="MUGISHO BALIBUNO"/>
        <s v="RAF938U"/>
        <s v="RIJO COMPANY LTD"/>
        <s v="DYLAN HARDWARE"/>
        <s v="CGO7683AF19"/>
        <s v="BUGOMA COMPANY"/>
        <s v="M.V TUWOMBE MUNGU 2"/>
        <s v="CGO7130AA02"/>
        <s v="RAC268X"/>
        <s v="CHUMVI SAFI LTD"/>
        <s v="THOMAS"/>
        <s v="UA BETTER COMPANY"/>
        <s v="RAC024"/>
        <s v="N&amp;J TRADING HOUSE COMPANY"/>
        <s v="RAE289Y"/>
        <s v="RAE209W"/>
        <s v="PLASMACO Ltd"/>
        <s v="N/A"/>
        <s v="RAE710F"/>
        <s v="RAB352U"/>
        <s v="RAC 024E"/>
        <s v="CGO5950AE22"/>
        <s v="KITUMAINE"/>
        <s v="RAE442V"/>
        <s v="RAF465U"/>
        <s v="BAKHRESA GRAIN MILLING "/>
        <s v="MISECORD DIVINE WOODEN"/>
        <s v="RAI023W"/>
        <s v="RAE467A"/>
        <s v="RAF728W"/>
        <s v="RAE136R"/>
        <s v="aruti"/>
        <s v="RULIBA CLAYS LIMITED"/>
        <s v="MBONIGABA BONAVANTURE"/>
        <s v="HA7595A"/>
        <s v="KDH173C"/>
        <s v="PEARL ENTERPRISE LTD"/>
        <s v="MALI NI WATU"/>
        <s v="KDE135G"/>
        <s v="UBA654F"/>
        <s v="EVACLAIRE"/>
        <s v="EMMANUEL 5"/>
        <s v="MULEHE I"/>
        <s v="RAI076N"/>
        <s v="CGO0489AG19"/>
        <s v="RAH309K"/>
        <s v="NANKAFU MRSHUNGA JEANNETTE"/>
        <s v="RAE601S"/>
        <s v="RAI389W"/>
        <s v="RAF467B"/>
        <s v="SALAMA MACHINE"/>
        <s v="RAI182L"/>
        <s v="RAD534T"/>
        <s v="EDEN CARGO HANDLING"/>
        <s v="Expert Family"/>
        <s v="UBF039M"/>
        <s v="Munguiko"/>
        <s v="UBF854K"/>
        <s v="REHEMA IRAGI"/>
        <s v="AFRINEST ENGINEERING LTD"/>
        <s v="NAVALIS MARITIME AGENCY LTD"/>
        <s v="NSHIMYUMUGABE FESTUS MAY PYT RESTO"/>
        <s v="MUNGUYIKO"/>
        <s v="T939DVC"/>
        <s v="RAG628N"/>
        <s v="RAG838N"/>
        <s v="SINGIRANKABO PACIFIQUE"/>
      </sharedItems>
    </cacheField>
    <cacheField name="Description" numFmtId="0">
      <sharedItems>
        <s v="66475394"/>
        <s v="66475412"/>
        <s v="66475414"/>
        <s v="66475420"/>
        <s v="66475445"/>
        <s v="66475447"/>
        <s v="66476505"/>
        <s v=" 66476517"/>
        <s v="66476531"/>
        <s v="66476543"/>
        <s v="66476927"/>
        <s v="66476940"/>
        <s v="66476945"/>
        <s v="66476969"/>
        <s v="66478073"/>
        <s v="66478189"/>
        <s v="66478109"/>
        <s v="66478214"/>
        <s v="66478329"/>
        <s v="66478337"/>
        <s v="66478351"/>
        <s v="66478367"/>
        <s v="66478405"/>
        <s v="66478093"/>
        <s v=" 66479621"/>
        <s v="66479573"/>
        <s v="66479584"/>
        <s v="66479681"/>
        <s v="66479713"/>
        <s v=" 66479737"/>
        <s v="66479578"/>
        <s v="66479588"/>
        <s v="66479829"/>
        <s v="66479834"/>
        <s v="66479888&#10;66479886"/>
        <s v="66480668"/>
        <s v="66480680"/>
        <s v="66407202"/>
        <s v="66407594"/>
        <s v="66407622"/>
        <s v="66482349"/>
        <s v="66482345"/>
        <s v="66482373"/>
        <s v="66482347"/>
        <s v="66407265"/>
        <s v="66407607"/>
        <s v="66482970"/>
        <s v="66482967"/>
        <s v="66482902"/>
        <s v="66482966"/>
        <s v="66482968"/>
        <s v="66483624"/>
        <s v="66407681"/>
        <s v="66407715"/>
        <s v="66407824"/>
        <s v="66484351"/>
        <s v="66484102"/>
        <s v="66483607"/>
        <s v="66483620"/>
        <s v="66484097"/>
        <s v="66484343"/>
        <s v="66483749"/>
        <s v="66407796"/>
        <s v="66485485"/>
        <s v="66485627"/>
        <s v="66407918"/>
        <s v="66407948"/>
        <s v="66486540"/>
        <s v="66486808"/>
        <s v="66486538"/>
        <s v="66486545"/>
        <s v="66491244"/>
        <s v=" 66408005"/>
        <s v="66408065"/>
        <s v="66488071"/>
        <s v="66488037"/>
        <s v="66487984"/>
        <s v="66488066"/>
        <s v="66408019"/>
        <s v="66408071"/>
        <s v=" 66408472"/>
        <s v="66491247"/>
        <s v="66490836"/>
        <s v="66491289"/>
        <s v="66486814"/>
        <s v="66491269"/>
        <s v="66408497"/>
        <s v="66408590"/>
        <s v="66408790"/>
        <s v="66491712"/>
        <s v="66491831"/>
        <s v="66491820"/>
        <s v="66491701"/>
        <s v="66491671"/>
        <s v="66491828"/>
        <s v="66491814"/>
        <s v="66491936"/>
        <s v="66408863"/>
        <s v="66408902"/>
        <s v="66409451"/>
        <s v=" 66409475"/>
        <s v="66409497"/>
        <s v="66492974"/>
        <s v="66492977"/>
        <s v="66492809"/>
        <s v="66493432"/>
        <s v="66493392"/>
        <s v="66492965"/>
        <s v="66492970"/>
        <s v="66493390"/>
        <s v="66493427"/>
        <s v="66409573"/>
        <s v="66410197"/>
        <s v="66410284"/>
        <s v="66410467"/>
        <s v="66410504"/>
        <s v="66410659"/>
        <s v="66410775"/>
        <s v="66410853"/>
        <s v="66411247"/>
        <s v="66411500"/>
        <s v="66411563"/>
        <s v="66411670"/>
        <s v="66411698"/>
        <s v="66411706"/>
        <s v="66411785"/>
        <s v="66494635"/>
        <s v="66494698"/>
        <s v="66493856"/>
        <s v="66494118"/>
        <s v="66493894"/>
        <s v="66494128"/>
        <s v="66493872"/>
        <s v="66493831"/>
        <s v="66493851"/>
        <s v="66494248"/>
        <s v="66494164"/>
        <s v="66494168"/>
        <s v="66494142"/>
        <s v="66494447"/>
        <s v="66494491"/>
        <s v="66493829"/>
        <s v="66493845"/>
        <s v="66493854"/>
        <s v="66494162"/>
        <s v="66493868"/>
        <s v="66493887"/>
        <s v="66494111"/>
        <s v="66494156"/>
        <s v="66494136"/>
        <s v="66494117"/>
        <s v="66494244"/>
        <s v="66494544"/>
        <s v="66494432"/>
        <s v="66494481"/>
        <s v="66494633"/>
        <s v="66494694"/>
        <s v="66493365"/>
        <s v="66411802"/>
        <s v="66411878"/>
        <s v="66411988"/>
        <s v="66412863"/>
        <s v="66495890"/>
        <s v="66495319"/>
        <s v="66496158"/>
        <s v="66495317"/>
        <s v="66495313"/>
        <s v="66495328"/>
        <s v="66495884"/>
        <s v="66497035, 66496182"/>
        <s v="66494691"/>
        <s v="66496156"/>
        <s v="66413058"/>
        <s v="66413126"/>
        <s v="66413230"/>
        <s v="66414355"/>
        <s v="66414357"/>
        <s v="66414505"/>
        <s v="66497050"/>
        <s v="66497086"/>
        <s v="66497496"/>
        <s v="66497827"/>
        <s v="66499865"/>
        <s v="66499945"/>
        <s v="66497035"/>
        <s v="66497023"/>
        <s v="66497130"/>
        <s v="66497492"/>
        <s v="66497692"/>
        <s v="66414614"/>
        <s v="66415230"/>
        <s v="66499910"/>
        <s v="66499739"/>
        <s v="66499735"/>
        <s v="66499862"/>
        <s v="66499909"/>
        <s v="66499941"/>
        <s v="66415332"/>
        <s v="66415621"/>
        <s v="66415851"/>
        <s v="66500744"/>
        <s v="66500683"/>
        <s v="66500662"/>
        <s v="66500645"/>
        <s v="66500682"/>
        <s v="66500734"/>
        <s v="66416365"/>
        <s v="66418425"/>
        <s v="66502025"/>
        <s v="66501658"/>
        <s v="66501653"/>
        <s v="66501657"/>
        <s v="66502019"/>
        <s v="66502807"/>
        <s v="66407177"/>
        <s v="66419291"/>
        <s v="66419302"/>
        <s v="66419447"/>
        <s v="66503049"/>
        <s v="66503113"/>
        <s v="66503131"/>
        <s v="66502802"/>
        <s v="66503035"/>
        <s v="66503108"/>
        <s v="66503052"/>
        <s v="66419534"/>
        <s v="66420692"/>
        <s v="66504520"/>
        <s v="66504128"/>
        <s v="66504119"/>
        <s v="66504513"/>
        <s v="66497675"/>
        <s v="66482905"/>
        <s v="66482370"/>
        <s v="66505539"/>
        <s v="66482343"/>
        <s v="66505576"/>
        <s v="66485475"/>
        <s v="66505833&amp;66505838"/>
        <s v="66507212"/>
        <s v="66507207"/>
        <s v="66420800"/>
        <s v="66420885"/>
        <s v="66496182, 66506683"/>
        <s v="66506693"/>
        <s v="66507193"/>
        <s v="66506723"/>
        <s v="66508626"/>
        <s v="ok"/>
        <s v="66362702  66362706"/>
        <s v="N/A"/>
        <s v="66482983/66482985&#10;"/>
        <s v="66509749&#10;66509752"/>
        <s v="66508630"/>
        <s v="66509009"/>
        <s v=" 66509013"/>
        <s v="66508787"/>
        <s v="66508789"/>
        <s v="66509438"/>
        <s v="66509442"/>
        <s v="66509458"/>
        <s v="66509465"/>
        <s v="66509678"/>
        <s v="66509680"/>
        <s v="66509713"/>
        <s v="66509721"/>
        <s v="66509784"/>
        <s v="66509792"/>
        <s v="66510077"/>
        <s v="66510197"/>
        <s v="66510203"/>
        <s v="66510271"/>
        <s v="66510082"/>
        <s v="66510220"/>
        <s v="66510272"/>
        <s v="66421952"/>
        <s v=" 66422410"/>
        <s v="66511583"/>
        <s v="66511546"/>
        <s v="66510692"/>
        <s v="66510701"/>
        <s v="66510731"/>
        <s v="66510736"/>
        <s v="66510827"/>
        <s v="66510843"/>
        <s v="66510853"/>
        <s v="66510862"/>
        <s v=" 66511155"/>
        <s v="66511165"/>
        <s v="66511131"/>
        <s v="66511153"/>
        <s v="66511250"/>
        <s v="66511260"/>
        <s v="66511185"/>
        <s v="66511290"/>
        <s v=" 66511214"/>
        <s v="66511292"/>
        <s v="66511242"/>
        <s v="66511423"/>
        <s v="66511428"/>
        <s v=" 66511435"/>
        <s v="66511447"/>
        <s v="66510023"/>
        <s v=" 66511536"/>
        <s v="66511344"/>
        <s v="66511574"/>
        <s v="66512050"/>
        <s v="66512051"/>
        <s v="66511997"/>
        <s v="66512003"/>
        <s v="66512198"/>
        <s v="66512205"/>
        <s v="66512564"/>
        <s v="66512576"/>
        <s v="66512591"/>
        <s v="66512595"/>
        <s v="66512691"/>
        <s v="66512671"/>
        <s v="66512756"/>
        <s v="66512847"/>
        <s v="66512852"/>
        <s v="66512796"/>
        <s v="66513575"/>
        <s v="66513559"/>
        <s v="66513502"/>
        <s v="66513504"/>
        <s v="66513427"/>
        <s v="66513433"/>
        <s v="66513809"/>
        <s v="66513838"/>
        <s v="66513865"/>
        <s v="66515190"/>
        <s v="66515191"/>
        <s v="66515201"/>
        <s v="66516056"/>
        <s v="66516061"/>
        <s v="66516301"/>
        <s v="66516307"/>
        <s v="66516319"/>
        <s v="66516328"/>
        <s v=" 66427495"/>
        <s v="66427657"/>
        <s v="66428172"/>
        <s v="66516679"/>
        <s v="66516586"/>
        <s v="66516636"/>
        <s v="66516635"/>
        <s v="66516583"/>
        <s v="66516678"/>
        <s v="66517872"/>
        <s v="66517873"/>
        <s v="66517937"/>
        <s v=" 66517952"/>
        <s v="66518202"/>
        <s v="66518214"/>
        <s v="66518262"/>
        <s v="66518962"/>
        <s v="66518970"/>
        <s v="66520061"/>
        <s v="66520072"/>
        <s v="66482948"/>
        <s v="66494218&#10;66494239"/>
        <s v="66510958"/>
        <s v="66513520&#10;66513522"/>
        <s v="66516221"/>
        <s v="66521359"/>
        <s v="66521392"/>
        <s v="66521533"/>
        <s v="66512755"/>
        <s v="66521655"/>
        <s v="66521670"/>
        <s v="66521675"/>
        <s v="66521713"/>
        <s v=" 66521737"/>
        <s v="66521807"/>
        <s v="66521808"/>
        <s v="66521857/66521852"/>
        <s v="66521950"/>
        <s v="66521953"/>
        <s v="66521748"/>
        <s v="66521573"/>
        <s v="66522874"/>
        <s v="66522878"/>
        <s v="66523144"/>
        <s v="66523147"/>
        <s v="66524024&#10;"/>
        <s v="66524070"/>
        <s v="EDEN CARGO HANDLING"/>
        <s v="66524077"/>
        <s v="66524930"/>
        <s v="66524938"/>
        <s v="66524949"/>
        <s v="66524966"/>
        <s v="66524981"/>
        <s v="66524985"/>
        <s v="66468899"/>
        <s v="66468904"/>
        <s v="66468868"/>
        <s v="66525964&#10;"/>
        <s v="66525675"/>
        <s v="66527162"/>
        <s v="66527262"/>
        <s v="66528284"/>
        <s v=" 66528351"/>
        <s v="66528452"/>
        <s v="66528459"/>
      </sharedItems>
    </cacheField>
    <cacheField name="Source" numFmtId="0">
      <sharedItems>
        <s v="Truck"/>
        <s v="Ops"/>
        <s v="Berthing"/>
        <s v="ADDITIONAL CHARGES"/>
        <s v="Other Revenues"/>
      </sharedItems>
    </cacheField>
    <cacheField name="Amount (RWF)" numFmtId="164">
      <sharedItems containsSemiMixedTypes="0" containsString="0" containsNumber="1" containsInteger="1">
        <n v="5000.0"/>
        <n v="15000.0"/>
        <n v="63000.0"/>
        <n v="10240.0"/>
        <n v="4352.0"/>
        <n v="4080.0"/>
        <n v="65000.0"/>
        <n v="81600.0"/>
        <n v="73950.0"/>
        <n v="4000.0"/>
        <n v="12655.0"/>
        <n v="712.0"/>
        <n v="45000.0"/>
        <n v="56000.0"/>
        <n v="12720.0"/>
        <n v="10000.0"/>
        <n v="50740.0"/>
        <n v="14552.0"/>
        <n v="12160.0"/>
        <n v="25000.0"/>
        <n v="238000.0"/>
        <n v="14008.0"/>
        <n v="50000.0"/>
        <n v="42000.0"/>
        <n v="316.0"/>
        <n v="40800.0"/>
        <n v="21498.0"/>
        <n v="2000.0"/>
        <n v="1200.0"/>
        <n v="12834.0"/>
        <n v="12400.0"/>
        <n v="3328.0"/>
        <n v="1600.0"/>
        <n v="1400.0"/>
        <n v="2764.0"/>
        <n v="54000.0"/>
        <n v="13200.0"/>
        <n v="6000.0"/>
        <n v="1280.0"/>
        <n v="16000.0"/>
        <n v="79180.0"/>
        <n v="900.0"/>
        <n v="60504.0"/>
        <n v="13056.0"/>
        <n v="60000.0"/>
        <n v="20000.0"/>
        <n v="45446.0"/>
        <n v="32184.0"/>
        <n v="9920.0"/>
        <n v="3200.0"/>
        <n v="115506.0"/>
        <n v="17174.0"/>
        <n v="42474.0"/>
        <n v="10656.0"/>
        <n v="55800.0"/>
        <n v="21974.0"/>
        <n v="70000.0"/>
        <n v="256.0"/>
        <n v="12804.0"/>
        <n v="14000.0"/>
        <n v="28830.0"/>
        <n v="5100.0"/>
        <n v="7000.0"/>
        <n v="16662.0"/>
        <n v="2200.0"/>
        <n v="34472.0"/>
        <n v="2240.0"/>
        <n v="54400.0"/>
        <n v="54500.0"/>
        <n v="1000.0"/>
        <n v="10496.0"/>
        <n v="10752.0"/>
        <n v="35000.0"/>
        <n v="2500.0"/>
        <n v="1768.0"/>
        <n v="13600.0"/>
        <n v="3431.0"/>
        <n v="1144.0"/>
        <n v="8650.0"/>
        <n v="1448.0"/>
        <n v="64000.0"/>
        <n v="6102.0"/>
        <n v="27000.0"/>
        <n v="62080.0"/>
        <n v="30000.0"/>
        <n v="960.0"/>
        <n v="28000.0"/>
        <n v="210000.0"/>
        <n v="2518.0"/>
        <n v="266000.0"/>
        <n v="24000.0"/>
        <n v="12000.0"/>
        <n v="32000.0"/>
        <n v="40000.0"/>
        <n v="546000.0"/>
        <n v="336000.0"/>
        <n v="7200.0"/>
        <n v="33600.0"/>
        <n v="30170.0"/>
        <n v="46800.0"/>
        <n v="41600.0"/>
        <n v="2526.0"/>
        <n v="80000.0"/>
        <n v="29600.0"/>
        <n v="25384.0"/>
        <n v="31800.0"/>
        <n v="3500.0"/>
        <n v="10400.0"/>
        <n v="62000.0"/>
        <n v="12800.0"/>
        <n v="378000.0"/>
        <n v="406000.0"/>
        <n v="37848.0"/>
        <n v="70988.0"/>
        <n v="54140.0"/>
        <n v="2540.0"/>
        <n v="29346.0"/>
        <n v="120000.0"/>
        <n v="119998.0"/>
        <n v="100000.0"/>
        <n v="29000.0"/>
        <n v="1452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heet7" cacheId="0" dataCaption="" compact="0" compactData="0">
  <location ref="A3:B13" firstHeaderRow="0" firstDataRow="1" firstDataCol="0"/>
  <pivotFields>
    <pivotField name="Adv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Bank Ref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t="default"/>
      </items>
    </pivotField>
    <pivotField name="Service" axis="axisRow" compact="0" outline="0" multipleItemSelectionAllowed="1" showAll="0" sortType="ascending">
      <items>
        <item x="6"/>
        <item x="4"/>
        <item x="8"/>
        <item x="1"/>
        <item x="0"/>
        <item x="5"/>
        <item x="3"/>
        <item x="2"/>
        <item x="7"/>
        <item t="default"/>
      </items>
    </pivotField>
    <pivotField name="Tax Center" compact="0" outline="0" multipleItemSelectionAllowed="1" showAll="0">
      <items>
        <item x="0"/>
        <item t="default"/>
      </items>
    </pivotField>
    <pivotField name="Pay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Currency" compact="0" outline="0" multipleItemSelectionAllowed="1" showAll="0">
      <items>
        <item x="0"/>
        <item t="default"/>
      </items>
    </pivotField>
  </pivotFields>
  <rowFields>
    <field x="3"/>
  </rowFields>
  <dataFields>
    <dataField name="Sum of Amount" fld="6" baseField="0"/>
  </dataFields>
</pivotTableDefinition>
</file>

<file path=xl/pivotTables/pivotTable2.xml><?xml version="1.0" encoding="utf-8"?>
<pivotTableDefinition xmlns="http://schemas.openxmlformats.org/spreadsheetml/2006/main" name="Sheet6" cacheId="1" dataCaption="" compact="0" compactData="0">
  <location ref="A3:B9" firstHeaderRow="0" firstDataRow="1" firstDataCol="0"/>
  <pivotFields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name="Cli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  <pivotField name="Source" axis="axisRow" compact="0" outline="0" multipleItemSelectionAllowed="1" showAll="0" sortType="ascending">
      <items>
        <item x="3"/>
        <item x="2"/>
        <item x="1"/>
        <item x="4"/>
        <item x="0"/>
        <item t="default"/>
      </items>
    </pivotField>
    <pivotField name="Amount (RWF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</pivotFields>
  <rowFields>
    <field x="3"/>
  </rowFields>
  <dataFields>
    <dataField name="Sum of Amount (RWF)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3.88"/>
    <col customWidth="1" min="2" max="2" width="10.75"/>
    <col customWidth="1" min="3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>
      <c r="A14" s="6"/>
      <c r="B14" s="7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58.63"/>
    <col customWidth="1" min="3" max="3" width="19.63"/>
    <col customWidth="1" min="4" max="4" width="27.25"/>
    <col customWidth="1" min="5" max="7" width="15.63"/>
    <col customWidth="1" min="8" max="8" width="11.75"/>
    <col customWidth="1" min="9" max="26" width="8.0"/>
  </cols>
  <sheetData>
    <row r="1" ht="12.75" customHeight="1">
      <c r="G1" s="8"/>
    </row>
    <row r="2" ht="12.75" customHeight="1">
      <c r="A2" s="9" t="s">
        <v>12</v>
      </c>
      <c r="B2" s="9" t="s">
        <v>13</v>
      </c>
      <c r="C2" s="9" t="s">
        <v>14</v>
      </c>
      <c r="D2" s="9" t="s">
        <v>0</v>
      </c>
      <c r="E2" s="9" t="s">
        <v>15</v>
      </c>
      <c r="F2" s="9" t="s">
        <v>16</v>
      </c>
      <c r="G2" s="10" t="s">
        <v>17</v>
      </c>
      <c r="H2" s="9" t="s">
        <v>18</v>
      </c>
    </row>
    <row r="3" ht="12.75" customHeight="1">
      <c r="A3" s="9">
        <v>6.6468868E7</v>
      </c>
      <c r="B3" s="9" t="s">
        <v>19</v>
      </c>
      <c r="C3" s="9" t="s">
        <v>20</v>
      </c>
      <c r="D3" s="9" t="s">
        <v>6</v>
      </c>
      <c r="E3" s="9" t="s">
        <v>21</v>
      </c>
      <c r="F3" s="9" t="s">
        <v>22</v>
      </c>
      <c r="G3" s="10">
        <v>100000.0</v>
      </c>
      <c r="H3" s="9" t="s">
        <v>23</v>
      </c>
    </row>
    <row r="4" ht="12.75" customHeight="1">
      <c r="A4" s="9">
        <v>6.6468899E7</v>
      </c>
      <c r="B4" s="9" t="s">
        <v>24</v>
      </c>
      <c r="C4" s="9" t="s">
        <v>25</v>
      </c>
      <c r="D4" s="9" t="s">
        <v>5</v>
      </c>
      <c r="E4" s="9" t="s">
        <v>21</v>
      </c>
      <c r="F4" s="9" t="s">
        <v>26</v>
      </c>
      <c r="G4" s="10">
        <v>120000.0</v>
      </c>
      <c r="H4" s="9" t="s">
        <v>23</v>
      </c>
    </row>
    <row r="5" ht="12.75" customHeight="1">
      <c r="A5" s="9">
        <v>6.6468904E7</v>
      </c>
      <c r="B5" s="9" t="s">
        <v>27</v>
      </c>
      <c r="C5" s="9" t="s">
        <v>28</v>
      </c>
      <c r="D5" s="9" t="s">
        <v>5</v>
      </c>
      <c r="E5" s="9" t="s">
        <v>21</v>
      </c>
      <c r="F5" s="9" t="s">
        <v>29</v>
      </c>
      <c r="G5" s="10">
        <v>120000.0</v>
      </c>
      <c r="H5" s="9" t="s">
        <v>23</v>
      </c>
    </row>
    <row r="6" ht="12.75" customHeight="1">
      <c r="A6" s="9">
        <v>6.6475394E7</v>
      </c>
      <c r="B6" s="9" t="s">
        <v>30</v>
      </c>
      <c r="C6" s="9" t="s">
        <v>31</v>
      </c>
      <c r="D6" s="9" t="s">
        <v>9</v>
      </c>
      <c r="E6" s="9" t="s">
        <v>21</v>
      </c>
      <c r="F6" s="9" t="s">
        <v>32</v>
      </c>
      <c r="G6" s="10">
        <v>5000.0</v>
      </c>
      <c r="H6" s="9" t="s">
        <v>23</v>
      </c>
    </row>
    <row r="7" ht="12.75" customHeight="1">
      <c r="A7" s="9">
        <v>6.6475412E7</v>
      </c>
      <c r="B7" s="9" t="s">
        <v>33</v>
      </c>
      <c r="C7" s="9" t="s">
        <v>34</v>
      </c>
      <c r="D7" s="9" t="s">
        <v>9</v>
      </c>
      <c r="E7" s="9" t="s">
        <v>21</v>
      </c>
      <c r="F7" s="9" t="s">
        <v>32</v>
      </c>
      <c r="G7" s="10">
        <v>15000.0</v>
      </c>
      <c r="H7" s="9" t="s">
        <v>23</v>
      </c>
    </row>
    <row r="8" ht="12.75" customHeight="1">
      <c r="A8" s="9">
        <v>6.6475414E7</v>
      </c>
      <c r="B8" s="9" t="s">
        <v>30</v>
      </c>
      <c r="C8" s="9" t="s">
        <v>35</v>
      </c>
      <c r="D8" s="9" t="s">
        <v>8</v>
      </c>
      <c r="E8" s="9" t="s">
        <v>21</v>
      </c>
      <c r="F8" s="9" t="s">
        <v>32</v>
      </c>
      <c r="G8" s="10">
        <v>63000.0</v>
      </c>
      <c r="H8" s="9" t="s">
        <v>23</v>
      </c>
    </row>
    <row r="9" ht="12.75" customHeight="1">
      <c r="A9" s="9">
        <v>6.647542E7</v>
      </c>
      <c r="B9" s="9" t="s">
        <v>36</v>
      </c>
      <c r="C9" s="9" t="s">
        <v>37</v>
      </c>
      <c r="D9" s="9" t="s">
        <v>3</v>
      </c>
      <c r="E9" s="9" t="s">
        <v>21</v>
      </c>
      <c r="F9" s="9" t="s">
        <v>32</v>
      </c>
      <c r="G9" s="10">
        <v>10240.0</v>
      </c>
      <c r="H9" s="9" t="s">
        <v>23</v>
      </c>
    </row>
    <row r="10" ht="12.75" customHeight="1">
      <c r="A10" s="9">
        <v>6.6475445E7</v>
      </c>
      <c r="B10" s="9" t="s">
        <v>38</v>
      </c>
      <c r="C10" s="9" t="s">
        <v>39</v>
      </c>
      <c r="D10" s="9" t="s">
        <v>9</v>
      </c>
      <c r="E10" s="9" t="s">
        <v>21</v>
      </c>
      <c r="F10" s="9" t="s">
        <v>32</v>
      </c>
      <c r="G10" s="10">
        <v>15000.0</v>
      </c>
      <c r="H10" s="9" t="s">
        <v>23</v>
      </c>
    </row>
    <row r="11" ht="12.75" customHeight="1">
      <c r="A11" s="9">
        <v>6.6475447E7</v>
      </c>
      <c r="B11" s="9" t="s">
        <v>36</v>
      </c>
      <c r="C11" s="9" t="s">
        <v>40</v>
      </c>
      <c r="D11" s="9" t="s">
        <v>3</v>
      </c>
      <c r="E11" s="9" t="s">
        <v>21</v>
      </c>
      <c r="F11" s="9" t="s">
        <v>32</v>
      </c>
      <c r="G11" s="10">
        <v>10240.0</v>
      </c>
      <c r="H11" s="9" t="s">
        <v>23</v>
      </c>
    </row>
    <row r="12" ht="12.75" customHeight="1">
      <c r="A12" s="9">
        <v>6.6476505E7</v>
      </c>
      <c r="B12" s="9" t="s">
        <v>41</v>
      </c>
      <c r="C12" s="9" t="s">
        <v>42</v>
      </c>
      <c r="D12" s="9" t="s">
        <v>9</v>
      </c>
      <c r="E12" s="9" t="s">
        <v>21</v>
      </c>
      <c r="F12" s="9" t="s">
        <v>43</v>
      </c>
      <c r="G12" s="10">
        <v>5000.0</v>
      </c>
      <c r="H12" s="9" t="s">
        <v>23</v>
      </c>
    </row>
    <row r="13" ht="12.75" customHeight="1">
      <c r="A13" s="9">
        <v>6.6476517E7</v>
      </c>
      <c r="B13" s="9" t="s">
        <v>41</v>
      </c>
      <c r="C13" s="9" t="s">
        <v>44</v>
      </c>
      <c r="D13" s="9" t="s">
        <v>3</v>
      </c>
      <c r="E13" s="9" t="s">
        <v>21</v>
      </c>
      <c r="F13" s="9" t="s">
        <v>43</v>
      </c>
      <c r="G13" s="10">
        <v>4352.0</v>
      </c>
      <c r="H13" s="9" t="s">
        <v>23</v>
      </c>
    </row>
    <row r="14" ht="12.75" customHeight="1">
      <c r="A14" s="9">
        <v>6.6476531E7</v>
      </c>
      <c r="B14" s="9" t="s">
        <v>45</v>
      </c>
      <c r="C14" s="9" t="s">
        <v>46</v>
      </c>
      <c r="D14" s="9" t="s">
        <v>9</v>
      </c>
      <c r="E14" s="9" t="s">
        <v>21</v>
      </c>
      <c r="F14" s="9" t="s">
        <v>43</v>
      </c>
      <c r="G14" s="10">
        <v>5000.0</v>
      </c>
      <c r="H14" s="9" t="s">
        <v>23</v>
      </c>
    </row>
    <row r="15" ht="12.75" customHeight="1">
      <c r="A15" s="9">
        <v>6.6476543E7</v>
      </c>
      <c r="B15" s="9" t="s">
        <v>45</v>
      </c>
      <c r="C15" s="9" t="s">
        <v>47</v>
      </c>
      <c r="D15" s="9" t="s">
        <v>3</v>
      </c>
      <c r="E15" s="9" t="s">
        <v>21</v>
      </c>
      <c r="F15" s="9" t="s">
        <v>43</v>
      </c>
      <c r="G15" s="10">
        <v>4080.0</v>
      </c>
      <c r="H15" s="9" t="s">
        <v>23</v>
      </c>
    </row>
    <row r="16" ht="12.75" customHeight="1">
      <c r="A16" s="9">
        <v>6.6476927E7</v>
      </c>
      <c r="B16" s="9" t="s">
        <v>48</v>
      </c>
      <c r="C16" s="9" t="s">
        <v>49</v>
      </c>
      <c r="D16" s="9" t="s">
        <v>9</v>
      </c>
      <c r="E16" s="9" t="s">
        <v>21</v>
      </c>
      <c r="F16" s="9" t="s">
        <v>43</v>
      </c>
      <c r="G16" s="10">
        <v>65000.0</v>
      </c>
      <c r="H16" s="9" t="s">
        <v>23</v>
      </c>
    </row>
    <row r="17" ht="12.75" customHeight="1">
      <c r="A17" s="9">
        <v>6.647694E7</v>
      </c>
      <c r="B17" s="9" t="s">
        <v>48</v>
      </c>
      <c r="C17" s="9" t="s">
        <v>50</v>
      </c>
      <c r="D17" s="9" t="s">
        <v>7</v>
      </c>
      <c r="E17" s="9" t="s">
        <v>21</v>
      </c>
      <c r="F17" s="9" t="s">
        <v>43</v>
      </c>
      <c r="G17" s="10">
        <v>81600.0</v>
      </c>
      <c r="H17" s="9" t="s">
        <v>23</v>
      </c>
    </row>
    <row r="18" ht="12.75" customHeight="1">
      <c r="A18" s="9">
        <v>6.6476945E7</v>
      </c>
      <c r="B18" s="9" t="s">
        <v>51</v>
      </c>
      <c r="C18" s="9" t="s">
        <v>52</v>
      </c>
      <c r="D18" s="9" t="s">
        <v>9</v>
      </c>
      <c r="E18" s="9" t="s">
        <v>21</v>
      </c>
      <c r="F18" s="9" t="s">
        <v>43</v>
      </c>
      <c r="G18" s="10">
        <v>5000.0</v>
      </c>
      <c r="H18" s="9" t="s">
        <v>23</v>
      </c>
    </row>
    <row r="19" ht="12.75" customHeight="1">
      <c r="A19" s="9">
        <v>6.6476969E7</v>
      </c>
      <c r="B19" s="9" t="s">
        <v>53</v>
      </c>
      <c r="C19" s="9" t="s">
        <v>54</v>
      </c>
      <c r="D19" s="9" t="s">
        <v>7</v>
      </c>
      <c r="E19" s="9" t="s">
        <v>21</v>
      </c>
      <c r="F19" s="9" t="s">
        <v>43</v>
      </c>
      <c r="G19" s="10">
        <v>73950.0</v>
      </c>
      <c r="H19" s="9" t="s">
        <v>23</v>
      </c>
    </row>
    <row r="20" ht="12.75" customHeight="1">
      <c r="A20" s="9">
        <v>6.6478073E7</v>
      </c>
      <c r="B20" s="9" t="s">
        <v>55</v>
      </c>
      <c r="C20" s="9" t="s">
        <v>56</v>
      </c>
      <c r="D20" s="9" t="s">
        <v>9</v>
      </c>
      <c r="E20" s="9" t="s">
        <v>21</v>
      </c>
      <c r="F20" s="9" t="s">
        <v>57</v>
      </c>
      <c r="G20" s="10">
        <v>5000.0</v>
      </c>
      <c r="H20" s="9" t="s">
        <v>23</v>
      </c>
    </row>
    <row r="21" ht="12.75" customHeight="1">
      <c r="A21" s="9">
        <v>6.6478109E7</v>
      </c>
      <c r="B21" s="9" t="s">
        <v>55</v>
      </c>
      <c r="C21" s="9" t="s">
        <v>58</v>
      </c>
      <c r="D21" s="9" t="s">
        <v>3</v>
      </c>
      <c r="E21" s="9" t="s">
        <v>21</v>
      </c>
      <c r="F21" s="9" t="s">
        <v>57</v>
      </c>
      <c r="G21" s="10">
        <v>4000.0</v>
      </c>
      <c r="H21" s="9" t="s">
        <v>23</v>
      </c>
    </row>
    <row r="22" ht="12.75" customHeight="1">
      <c r="A22" s="9">
        <v>6.6478189E7</v>
      </c>
      <c r="B22" s="9" t="s">
        <v>59</v>
      </c>
      <c r="C22" s="9" t="s">
        <v>60</v>
      </c>
      <c r="D22" s="9" t="s">
        <v>9</v>
      </c>
      <c r="E22" s="9" t="s">
        <v>21</v>
      </c>
      <c r="F22" s="9" t="s">
        <v>57</v>
      </c>
      <c r="G22" s="10">
        <v>5000.0</v>
      </c>
      <c r="H22" s="9" t="s">
        <v>23</v>
      </c>
    </row>
    <row r="23" ht="12.75" customHeight="1">
      <c r="A23" s="9">
        <v>6.6478214E7</v>
      </c>
      <c r="B23" s="9" t="s">
        <v>59</v>
      </c>
      <c r="C23" s="9" t="s">
        <v>61</v>
      </c>
      <c r="D23" s="9" t="s">
        <v>3</v>
      </c>
      <c r="E23" s="9" t="s">
        <v>21</v>
      </c>
      <c r="F23" s="9" t="s">
        <v>57</v>
      </c>
      <c r="G23" s="10">
        <v>12656.0</v>
      </c>
      <c r="H23" s="9" t="s">
        <v>23</v>
      </c>
    </row>
    <row r="24" ht="12.75" customHeight="1">
      <c r="A24" s="9">
        <v>6.6478329E7</v>
      </c>
      <c r="B24" s="9" t="s">
        <v>62</v>
      </c>
      <c r="C24" s="9" t="s">
        <v>63</v>
      </c>
      <c r="D24" s="9" t="s">
        <v>9</v>
      </c>
      <c r="E24" s="9" t="s">
        <v>21</v>
      </c>
      <c r="F24" s="9" t="s">
        <v>57</v>
      </c>
      <c r="G24" s="10">
        <v>5000.0</v>
      </c>
      <c r="H24" s="9" t="s">
        <v>23</v>
      </c>
    </row>
    <row r="25" ht="12.75" customHeight="1">
      <c r="A25" s="9">
        <v>6.6478337E7</v>
      </c>
      <c r="B25" s="9" t="s">
        <v>62</v>
      </c>
      <c r="C25" s="9" t="s">
        <v>64</v>
      </c>
      <c r="D25" s="9" t="s">
        <v>3</v>
      </c>
      <c r="E25" s="9" t="s">
        <v>21</v>
      </c>
      <c r="F25" s="9" t="s">
        <v>57</v>
      </c>
      <c r="G25" s="10">
        <v>712.0</v>
      </c>
      <c r="H25" s="9" t="s">
        <v>23</v>
      </c>
    </row>
    <row r="26" ht="12.75" customHeight="1">
      <c r="A26" s="9">
        <v>6.6478351E7</v>
      </c>
      <c r="B26" s="9" t="s">
        <v>65</v>
      </c>
      <c r="C26" s="9" t="s">
        <v>66</v>
      </c>
      <c r="D26" s="9" t="s">
        <v>9</v>
      </c>
      <c r="E26" s="9" t="s">
        <v>21</v>
      </c>
      <c r="F26" s="9" t="s">
        <v>57</v>
      </c>
      <c r="G26" s="10">
        <v>45000.0</v>
      </c>
      <c r="H26" s="9" t="s">
        <v>23</v>
      </c>
    </row>
    <row r="27" ht="12.75" customHeight="1">
      <c r="A27" s="9">
        <v>6.6478367E7</v>
      </c>
      <c r="B27" s="9" t="s">
        <v>65</v>
      </c>
      <c r="C27" s="9" t="s">
        <v>67</v>
      </c>
      <c r="D27" s="9" t="s">
        <v>7</v>
      </c>
      <c r="E27" s="9" t="s">
        <v>21</v>
      </c>
      <c r="F27" s="9" t="s">
        <v>57</v>
      </c>
      <c r="G27" s="10">
        <v>56000.0</v>
      </c>
      <c r="H27" s="9" t="s">
        <v>23</v>
      </c>
    </row>
    <row r="28" ht="12.75" customHeight="1">
      <c r="A28" s="9">
        <v>6.6478405E7</v>
      </c>
      <c r="B28" s="9" t="s">
        <v>68</v>
      </c>
      <c r="C28" s="9" t="s">
        <v>69</v>
      </c>
      <c r="D28" s="9" t="s">
        <v>9</v>
      </c>
      <c r="E28" s="9" t="s">
        <v>21</v>
      </c>
      <c r="F28" s="9" t="s">
        <v>57</v>
      </c>
      <c r="G28" s="10">
        <v>5000.0</v>
      </c>
      <c r="H28" s="9" t="s">
        <v>23</v>
      </c>
    </row>
    <row r="29" ht="12.75" customHeight="1">
      <c r="A29" s="9">
        <v>6.6479573E7</v>
      </c>
      <c r="B29" s="9" t="s">
        <v>70</v>
      </c>
      <c r="C29" s="9" t="s">
        <v>71</v>
      </c>
      <c r="D29" s="9" t="s">
        <v>9</v>
      </c>
      <c r="E29" s="9" t="s">
        <v>21</v>
      </c>
      <c r="F29" s="9" t="s">
        <v>72</v>
      </c>
      <c r="G29" s="10">
        <v>15000.0</v>
      </c>
      <c r="H29" s="9" t="s">
        <v>23</v>
      </c>
    </row>
    <row r="30" ht="12.75" customHeight="1">
      <c r="A30" s="9">
        <v>6.6479578E7</v>
      </c>
      <c r="B30" s="9" t="s">
        <v>73</v>
      </c>
      <c r="C30" s="9" t="s">
        <v>74</v>
      </c>
      <c r="D30" s="9" t="s">
        <v>3</v>
      </c>
      <c r="E30" s="9" t="s">
        <v>21</v>
      </c>
      <c r="F30" s="9" t="s">
        <v>72</v>
      </c>
      <c r="G30" s="10">
        <v>14552.0</v>
      </c>
      <c r="H30" s="9" t="s">
        <v>23</v>
      </c>
    </row>
    <row r="31" ht="12.75" customHeight="1">
      <c r="A31" s="9">
        <v>6.6479584E7</v>
      </c>
      <c r="B31" s="9" t="s">
        <v>75</v>
      </c>
      <c r="C31" s="9" t="s">
        <v>76</v>
      </c>
      <c r="D31" s="9" t="s">
        <v>9</v>
      </c>
      <c r="E31" s="9" t="s">
        <v>21</v>
      </c>
      <c r="F31" s="9" t="s">
        <v>72</v>
      </c>
      <c r="G31" s="10">
        <v>15000.0</v>
      </c>
      <c r="H31" s="9" t="s">
        <v>23</v>
      </c>
    </row>
    <row r="32" ht="12.75" customHeight="1">
      <c r="A32" s="9">
        <v>6.6479588E7</v>
      </c>
      <c r="B32" s="9" t="s">
        <v>73</v>
      </c>
      <c r="C32" s="9" t="s">
        <v>77</v>
      </c>
      <c r="D32" s="9" t="s">
        <v>3</v>
      </c>
      <c r="E32" s="9" t="s">
        <v>21</v>
      </c>
      <c r="F32" s="9" t="s">
        <v>72</v>
      </c>
      <c r="G32" s="10">
        <v>14552.0</v>
      </c>
      <c r="H32" s="9" t="s">
        <v>23</v>
      </c>
    </row>
    <row r="33" ht="12.75" customHeight="1">
      <c r="A33" s="9">
        <v>6.6479621E7</v>
      </c>
      <c r="B33" s="9" t="s">
        <v>78</v>
      </c>
      <c r="C33" s="9" t="s">
        <v>79</v>
      </c>
      <c r="D33" s="9" t="s">
        <v>9</v>
      </c>
      <c r="E33" s="9" t="s">
        <v>21</v>
      </c>
      <c r="F33" s="9" t="s">
        <v>72</v>
      </c>
      <c r="G33" s="10">
        <v>5000.0</v>
      </c>
      <c r="H33" s="9" t="s">
        <v>23</v>
      </c>
    </row>
    <row r="34" ht="12.75" customHeight="1">
      <c r="A34" s="9">
        <v>6.6479681E7</v>
      </c>
      <c r="B34" s="9" t="s">
        <v>78</v>
      </c>
      <c r="C34" s="9" t="s">
        <v>80</v>
      </c>
      <c r="D34" s="9" t="s">
        <v>3</v>
      </c>
      <c r="E34" s="9" t="s">
        <v>21</v>
      </c>
      <c r="F34" s="9" t="s">
        <v>72</v>
      </c>
      <c r="G34" s="10">
        <v>12720.0</v>
      </c>
      <c r="H34" s="9" t="s">
        <v>23</v>
      </c>
    </row>
    <row r="35" ht="12.75" customHeight="1">
      <c r="A35" s="9">
        <v>6.6479713E7</v>
      </c>
      <c r="B35" s="9" t="s">
        <v>81</v>
      </c>
      <c r="C35" s="9" t="s">
        <v>82</v>
      </c>
      <c r="D35" s="9" t="s">
        <v>9</v>
      </c>
      <c r="E35" s="9" t="s">
        <v>21</v>
      </c>
      <c r="F35" s="9" t="s">
        <v>72</v>
      </c>
      <c r="G35" s="10">
        <v>10000.0</v>
      </c>
      <c r="H35" s="9" t="s">
        <v>23</v>
      </c>
    </row>
    <row r="36" ht="12.75" customHeight="1">
      <c r="A36" s="9">
        <v>6.6479737E7</v>
      </c>
      <c r="B36" s="9" t="s">
        <v>81</v>
      </c>
      <c r="C36" s="9" t="s">
        <v>83</v>
      </c>
      <c r="D36" s="9" t="s">
        <v>7</v>
      </c>
      <c r="E36" s="9" t="s">
        <v>21</v>
      </c>
      <c r="F36" s="9" t="s">
        <v>72</v>
      </c>
      <c r="G36" s="10">
        <v>50740.0</v>
      </c>
      <c r="H36" s="9" t="s">
        <v>23</v>
      </c>
    </row>
    <row r="37" ht="12.75" customHeight="1">
      <c r="A37" s="9">
        <v>6.6479829E7</v>
      </c>
      <c r="B37" s="9" t="s">
        <v>84</v>
      </c>
      <c r="C37" s="9" t="s">
        <v>85</v>
      </c>
      <c r="D37" s="9" t="s">
        <v>3</v>
      </c>
      <c r="E37" s="9" t="s">
        <v>21</v>
      </c>
      <c r="F37" s="9" t="s">
        <v>72</v>
      </c>
      <c r="G37" s="10">
        <v>12160.0</v>
      </c>
      <c r="H37" s="9" t="s">
        <v>23</v>
      </c>
    </row>
    <row r="38" ht="12.75" customHeight="1">
      <c r="A38" s="9">
        <v>6.6479834E7</v>
      </c>
      <c r="B38" s="9" t="s">
        <v>86</v>
      </c>
      <c r="C38" s="9" t="s">
        <v>87</v>
      </c>
      <c r="D38" s="9" t="s">
        <v>9</v>
      </c>
      <c r="E38" s="9" t="s">
        <v>21</v>
      </c>
      <c r="F38" s="9" t="s">
        <v>72</v>
      </c>
      <c r="G38" s="10">
        <v>25000.0</v>
      </c>
      <c r="H38" s="9" t="s">
        <v>23</v>
      </c>
    </row>
    <row r="39" ht="12.75" customHeight="1">
      <c r="A39" s="9">
        <v>6.6479886E7</v>
      </c>
      <c r="B39" s="9" t="s">
        <v>88</v>
      </c>
      <c r="C39" s="9" t="s">
        <v>89</v>
      </c>
      <c r="D39" s="9" t="s">
        <v>2</v>
      </c>
      <c r="E39" s="9" t="s">
        <v>21</v>
      </c>
      <c r="F39" s="9" t="s">
        <v>72</v>
      </c>
      <c r="G39" s="10">
        <v>28000.0</v>
      </c>
      <c r="H39" s="9" t="s">
        <v>23</v>
      </c>
    </row>
    <row r="40" ht="12.75" customHeight="1">
      <c r="A40" s="9">
        <v>6.6479888E7</v>
      </c>
      <c r="B40" s="9" t="s">
        <v>88</v>
      </c>
      <c r="C40" s="9" t="s">
        <v>90</v>
      </c>
      <c r="D40" s="9" t="s">
        <v>10</v>
      </c>
      <c r="E40" s="9" t="s">
        <v>21</v>
      </c>
      <c r="F40" s="9" t="s">
        <v>72</v>
      </c>
      <c r="G40" s="10">
        <v>210000.0</v>
      </c>
      <c r="H40" s="9" t="s">
        <v>23</v>
      </c>
    </row>
    <row r="41" ht="12.75" customHeight="1">
      <c r="A41" s="9">
        <v>6.6480668E7</v>
      </c>
      <c r="B41" s="9" t="s">
        <v>91</v>
      </c>
      <c r="C41" s="9" t="s">
        <v>92</v>
      </c>
      <c r="D41" s="9" t="s">
        <v>9</v>
      </c>
      <c r="E41" s="9" t="s">
        <v>21</v>
      </c>
      <c r="F41" s="9" t="s">
        <v>93</v>
      </c>
      <c r="G41" s="10">
        <v>5000.0</v>
      </c>
      <c r="H41" s="9" t="s">
        <v>23</v>
      </c>
    </row>
    <row r="42" ht="12.75" customHeight="1">
      <c r="A42" s="9">
        <v>6.648068E7</v>
      </c>
      <c r="B42" s="9" t="s">
        <v>91</v>
      </c>
      <c r="C42" s="9" t="s">
        <v>94</v>
      </c>
      <c r="D42" s="9" t="s">
        <v>3</v>
      </c>
      <c r="E42" s="9" t="s">
        <v>21</v>
      </c>
      <c r="F42" s="9" t="s">
        <v>93</v>
      </c>
      <c r="G42" s="10">
        <v>14008.0</v>
      </c>
      <c r="H42" s="9" t="s">
        <v>23</v>
      </c>
    </row>
    <row r="43" ht="12.75" customHeight="1">
      <c r="A43" s="9">
        <v>6.6481054E7</v>
      </c>
      <c r="B43" s="9" t="s">
        <v>95</v>
      </c>
      <c r="C43" s="9" t="s">
        <v>96</v>
      </c>
      <c r="D43" s="9" t="s">
        <v>2</v>
      </c>
      <c r="E43" s="9" t="s">
        <v>21</v>
      </c>
      <c r="F43" s="9" t="s">
        <v>93</v>
      </c>
      <c r="G43" s="10">
        <v>168000.0</v>
      </c>
      <c r="H43" s="9" t="s">
        <v>23</v>
      </c>
    </row>
    <row r="44" ht="12.75" customHeight="1">
      <c r="A44" s="9">
        <v>6.6482343E7</v>
      </c>
      <c r="B44" s="9" t="s">
        <v>97</v>
      </c>
      <c r="C44" s="9" t="s">
        <v>98</v>
      </c>
      <c r="D44" s="9" t="s">
        <v>9</v>
      </c>
      <c r="E44" s="9" t="s">
        <v>21</v>
      </c>
      <c r="F44" s="9" t="s">
        <v>99</v>
      </c>
      <c r="G44" s="10">
        <v>15000.0</v>
      </c>
      <c r="H44" s="9" t="s">
        <v>23</v>
      </c>
    </row>
    <row r="45" ht="12.75" customHeight="1">
      <c r="A45" s="9">
        <v>6.6482345E7</v>
      </c>
      <c r="B45" s="9" t="s">
        <v>97</v>
      </c>
      <c r="C45" s="9" t="s">
        <v>100</v>
      </c>
      <c r="D45" s="9" t="s">
        <v>7</v>
      </c>
      <c r="E45" s="9" t="s">
        <v>21</v>
      </c>
      <c r="F45" s="9" t="s">
        <v>99</v>
      </c>
      <c r="G45" s="10">
        <v>40800.0</v>
      </c>
      <c r="H45" s="9" t="s">
        <v>23</v>
      </c>
    </row>
    <row r="46" ht="12.75" customHeight="1">
      <c r="A46" s="9">
        <v>6.6482347E7</v>
      </c>
      <c r="B46" s="9" t="s">
        <v>101</v>
      </c>
      <c r="C46" s="9" t="s">
        <v>102</v>
      </c>
      <c r="D46" s="9" t="s">
        <v>9</v>
      </c>
      <c r="E46" s="9" t="s">
        <v>21</v>
      </c>
      <c r="F46" s="9" t="s">
        <v>99</v>
      </c>
      <c r="G46" s="10">
        <v>15000.0</v>
      </c>
      <c r="H46" s="9" t="s">
        <v>23</v>
      </c>
    </row>
    <row r="47" ht="12.75" customHeight="1">
      <c r="A47" s="9">
        <v>6.6482349E7</v>
      </c>
      <c r="B47" s="9" t="s">
        <v>36</v>
      </c>
      <c r="C47" s="9" t="s">
        <v>103</v>
      </c>
      <c r="D47" s="9" t="s">
        <v>3</v>
      </c>
      <c r="E47" s="9" t="s">
        <v>21</v>
      </c>
      <c r="F47" s="9" t="s">
        <v>99</v>
      </c>
      <c r="G47" s="10">
        <v>10240.0</v>
      </c>
      <c r="H47" s="9" t="s">
        <v>23</v>
      </c>
    </row>
    <row r="48" ht="12.75" customHeight="1">
      <c r="A48" s="9">
        <v>6.648237E7</v>
      </c>
      <c r="B48" s="9" t="s">
        <v>104</v>
      </c>
      <c r="C48" s="9" t="s">
        <v>105</v>
      </c>
      <c r="D48" s="9" t="s">
        <v>9</v>
      </c>
      <c r="E48" s="9" t="s">
        <v>21</v>
      </c>
      <c r="F48" s="9" t="s">
        <v>99</v>
      </c>
      <c r="G48" s="10">
        <v>15000.0</v>
      </c>
      <c r="H48" s="9" t="s">
        <v>23</v>
      </c>
    </row>
    <row r="49" ht="12.75" customHeight="1">
      <c r="A49" s="9">
        <v>6.6482373E7</v>
      </c>
      <c r="B49" s="9" t="s">
        <v>104</v>
      </c>
      <c r="C49" s="9" t="s">
        <v>106</v>
      </c>
      <c r="D49" s="9" t="s">
        <v>7</v>
      </c>
      <c r="E49" s="9" t="s">
        <v>21</v>
      </c>
      <c r="F49" s="9" t="s">
        <v>99</v>
      </c>
      <c r="G49" s="10">
        <v>21498.0</v>
      </c>
      <c r="H49" s="9" t="s">
        <v>23</v>
      </c>
    </row>
    <row r="50" ht="12.75" customHeight="1">
      <c r="A50" s="9">
        <v>6.6482902E7</v>
      </c>
      <c r="B50" s="9" t="s">
        <v>107</v>
      </c>
      <c r="C50" s="9" t="s">
        <v>108</v>
      </c>
      <c r="D50" s="9" t="s">
        <v>9</v>
      </c>
      <c r="E50" s="9" t="s">
        <v>21</v>
      </c>
      <c r="F50" s="9" t="s">
        <v>109</v>
      </c>
      <c r="G50" s="10">
        <v>5000.0</v>
      </c>
      <c r="H50" s="9" t="s">
        <v>23</v>
      </c>
    </row>
    <row r="51" ht="12.75" customHeight="1">
      <c r="A51" s="9">
        <v>6.6482905E7</v>
      </c>
      <c r="B51" s="9" t="s">
        <v>107</v>
      </c>
      <c r="C51" s="9" t="s">
        <v>110</v>
      </c>
      <c r="D51" s="9" t="s">
        <v>3</v>
      </c>
      <c r="E51" s="9" t="s">
        <v>21</v>
      </c>
      <c r="F51" s="9" t="s">
        <v>109</v>
      </c>
      <c r="G51" s="10">
        <v>3200.0</v>
      </c>
      <c r="H51" s="9" t="s">
        <v>23</v>
      </c>
    </row>
    <row r="52" ht="12.75" customHeight="1">
      <c r="A52" s="9">
        <v>6.6482948E7</v>
      </c>
      <c r="B52" s="9" t="s">
        <v>111</v>
      </c>
      <c r="C52" s="9" t="s">
        <v>112</v>
      </c>
      <c r="D52" s="9" t="s">
        <v>10</v>
      </c>
      <c r="E52" s="9" t="s">
        <v>21</v>
      </c>
      <c r="F52" s="9" t="s">
        <v>109</v>
      </c>
      <c r="G52" s="10">
        <v>210000.0</v>
      </c>
      <c r="H52" s="9" t="s">
        <v>23</v>
      </c>
    </row>
    <row r="53" ht="12.75" customHeight="1">
      <c r="A53" s="9">
        <v>6.6482966E7</v>
      </c>
      <c r="B53" s="9" t="s">
        <v>113</v>
      </c>
      <c r="C53" s="9" t="s">
        <v>114</v>
      </c>
      <c r="D53" s="9" t="s">
        <v>9</v>
      </c>
      <c r="E53" s="9" t="s">
        <v>21</v>
      </c>
      <c r="F53" s="9" t="s">
        <v>109</v>
      </c>
      <c r="G53" s="10">
        <v>5000.0</v>
      </c>
      <c r="H53" s="9" t="s">
        <v>23</v>
      </c>
    </row>
    <row r="54" ht="12.75" customHeight="1">
      <c r="A54" s="9">
        <v>6.6482967E7</v>
      </c>
      <c r="B54" s="9" t="s">
        <v>113</v>
      </c>
      <c r="C54" s="9" t="s">
        <v>115</v>
      </c>
      <c r="D54" s="9" t="s">
        <v>3</v>
      </c>
      <c r="E54" s="9" t="s">
        <v>21</v>
      </c>
      <c r="F54" s="9" t="s">
        <v>109</v>
      </c>
      <c r="G54" s="10">
        <v>12400.0</v>
      </c>
      <c r="H54" s="9" t="s">
        <v>23</v>
      </c>
    </row>
    <row r="55" ht="12.75" customHeight="1">
      <c r="A55" s="9">
        <v>6.6482968E7</v>
      </c>
      <c r="B55" s="9" t="s">
        <v>116</v>
      </c>
      <c r="C55" s="9" t="s">
        <v>117</v>
      </c>
      <c r="D55" s="9" t="s">
        <v>9</v>
      </c>
      <c r="E55" s="9" t="s">
        <v>21</v>
      </c>
      <c r="F55" s="9" t="s">
        <v>109</v>
      </c>
      <c r="G55" s="10">
        <v>5000.0</v>
      </c>
      <c r="H55" s="9" t="s">
        <v>23</v>
      </c>
    </row>
    <row r="56" ht="12.75" customHeight="1">
      <c r="A56" s="9">
        <v>6.648297E7</v>
      </c>
      <c r="B56" s="9" t="s">
        <v>116</v>
      </c>
      <c r="C56" s="9" t="s">
        <v>118</v>
      </c>
      <c r="D56" s="9" t="s">
        <v>3</v>
      </c>
      <c r="E56" s="9" t="s">
        <v>21</v>
      </c>
      <c r="F56" s="9" t="s">
        <v>109</v>
      </c>
      <c r="G56" s="10">
        <v>12834.0</v>
      </c>
      <c r="H56" s="9" t="s">
        <v>23</v>
      </c>
    </row>
    <row r="57" ht="12.75" customHeight="1">
      <c r="A57" s="9">
        <v>6.6482983E7</v>
      </c>
      <c r="B57" s="9" t="s">
        <v>119</v>
      </c>
      <c r="C57" s="9" t="s">
        <v>120</v>
      </c>
      <c r="D57" s="9" t="s">
        <v>10</v>
      </c>
      <c r="E57" s="9" t="s">
        <v>21</v>
      </c>
      <c r="F57" s="9" t="s">
        <v>109</v>
      </c>
      <c r="G57" s="10">
        <v>210000.0</v>
      </c>
      <c r="H57" s="9" t="s">
        <v>23</v>
      </c>
    </row>
    <row r="58" ht="12.75" customHeight="1">
      <c r="A58" s="9">
        <v>6.6482985E7</v>
      </c>
      <c r="B58" s="9" t="s">
        <v>119</v>
      </c>
      <c r="C58" s="9" t="s">
        <v>121</v>
      </c>
      <c r="D58" s="9" t="s">
        <v>2</v>
      </c>
      <c r="E58" s="9" t="s">
        <v>21</v>
      </c>
      <c r="F58" s="9" t="s">
        <v>109</v>
      </c>
      <c r="G58" s="10">
        <v>56000.0</v>
      </c>
      <c r="H58" s="9" t="s">
        <v>23</v>
      </c>
    </row>
    <row r="59" ht="12.75" customHeight="1">
      <c r="A59" s="9">
        <v>6.6483607E7</v>
      </c>
      <c r="B59" s="9" t="s">
        <v>122</v>
      </c>
      <c r="C59" s="9" t="s">
        <v>123</v>
      </c>
      <c r="D59" s="9" t="s">
        <v>9</v>
      </c>
      <c r="E59" s="9" t="s">
        <v>21</v>
      </c>
      <c r="F59" s="9" t="s">
        <v>124</v>
      </c>
      <c r="G59" s="10">
        <v>10000.0</v>
      </c>
      <c r="H59" s="9" t="s">
        <v>23</v>
      </c>
    </row>
    <row r="60" ht="12.75" customHeight="1">
      <c r="A60" s="9">
        <v>6.648362E7</v>
      </c>
      <c r="B60" s="9" t="s">
        <v>125</v>
      </c>
      <c r="C60" s="9" t="s">
        <v>126</v>
      </c>
      <c r="D60" s="9" t="s">
        <v>9</v>
      </c>
      <c r="E60" s="9" t="s">
        <v>21</v>
      </c>
      <c r="F60" s="9" t="s">
        <v>124</v>
      </c>
      <c r="G60" s="10">
        <v>5000.0</v>
      </c>
      <c r="H60" s="9" t="s">
        <v>23</v>
      </c>
    </row>
    <row r="61" ht="12.75" customHeight="1">
      <c r="A61" s="9">
        <v>6.6483624E7</v>
      </c>
      <c r="B61" s="9" t="s">
        <v>125</v>
      </c>
      <c r="C61" s="9" t="s">
        <v>127</v>
      </c>
      <c r="D61" s="9" t="s">
        <v>3</v>
      </c>
      <c r="E61" s="9" t="s">
        <v>21</v>
      </c>
      <c r="F61" s="9" t="s">
        <v>124</v>
      </c>
      <c r="G61" s="10">
        <v>3328.0</v>
      </c>
      <c r="H61" s="9" t="s">
        <v>23</v>
      </c>
    </row>
    <row r="62" ht="12.75" customHeight="1">
      <c r="A62" s="9">
        <v>6.6483749E7</v>
      </c>
      <c r="B62" s="9" t="s">
        <v>128</v>
      </c>
      <c r="C62" s="9" t="s">
        <v>129</v>
      </c>
      <c r="D62" s="9" t="s">
        <v>9</v>
      </c>
      <c r="E62" s="9" t="s">
        <v>21</v>
      </c>
      <c r="F62" s="9" t="s">
        <v>124</v>
      </c>
      <c r="G62" s="10">
        <v>5000.0</v>
      </c>
      <c r="H62" s="9" t="s">
        <v>23</v>
      </c>
    </row>
    <row r="63" ht="12.75" customHeight="1">
      <c r="A63" s="9">
        <v>6.6484097E7</v>
      </c>
      <c r="B63" s="9" t="s">
        <v>130</v>
      </c>
      <c r="C63" s="9" t="s">
        <v>131</v>
      </c>
      <c r="D63" s="9" t="s">
        <v>9</v>
      </c>
      <c r="E63" s="9" t="s">
        <v>21</v>
      </c>
      <c r="F63" s="9" t="s">
        <v>124</v>
      </c>
      <c r="G63" s="10">
        <v>5000.0</v>
      </c>
      <c r="H63" s="9" t="s">
        <v>23</v>
      </c>
    </row>
    <row r="64" ht="12.75" customHeight="1">
      <c r="A64" s="9">
        <v>6.6484102E7</v>
      </c>
      <c r="B64" s="9" t="s">
        <v>132</v>
      </c>
      <c r="C64" s="9" t="s">
        <v>133</v>
      </c>
      <c r="D64" s="9" t="s">
        <v>3</v>
      </c>
      <c r="E64" s="9" t="s">
        <v>21</v>
      </c>
      <c r="F64" s="9" t="s">
        <v>124</v>
      </c>
      <c r="G64" s="10">
        <v>4000.0</v>
      </c>
      <c r="H64" s="9" t="s">
        <v>23</v>
      </c>
    </row>
    <row r="65" ht="12.75" customHeight="1">
      <c r="A65" s="9">
        <v>6.6484343E7</v>
      </c>
      <c r="B65" s="9" t="s">
        <v>125</v>
      </c>
      <c r="C65" s="9" t="s">
        <v>134</v>
      </c>
      <c r="D65" s="9" t="s">
        <v>9</v>
      </c>
      <c r="E65" s="9" t="s">
        <v>21</v>
      </c>
      <c r="F65" s="9" t="s">
        <v>124</v>
      </c>
      <c r="G65" s="10">
        <v>5000.0</v>
      </c>
      <c r="H65" s="9" t="s">
        <v>23</v>
      </c>
    </row>
    <row r="66" ht="12.75" customHeight="1">
      <c r="A66" s="9">
        <v>6.6484351E7</v>
      </c>
      <c r="B66" s="9" t="s">
        <v>125</v>
      </c>
      <c r="C66" s="9" t="s">
        <v>135</v>
      </c>
      <c r="D66" s="9" t="s">
        <v>3</v>
      </c>
      <c r="E66" s="9" t="s">
        <v>21</v>
      </c>
      <c r="F66" s="9" t="s">
        <v>124</v>
      </c>
      <c r="G66" s="10">
        <v>2765.0</v>
      </c>
      <c r="H66" s="9" t="s">
        <v>23</v>
      </c>
    </row>
    <row r="67" ht="12.75" customHeight="1">
      <c r="A67" s="9">
        <v>6.6485475E7</v>
      </c>
      <c r="B67" s="9" t="s">
        <v>136</v>
      </c>
      <c r="C67" s="9" t="s">
        <v>137</v>
      </c>
      <c r="D67" s="9" t="s">
        <v>9</v>
      </c>
      <c r="E67" s="9" t="s">
        <v>21</v>
      </c>
      <c r="F67" s="9" t="s">
        <v>26</v>
      </c>
      <c r="G67" s="10">
        <v>5000.0</v>
      </c>
      <c r="H67" s="9" t="s">
        <v>23</v>
      </c>
    </row>
    <row r="68" ht="12.75" customHeight="1">
      <c r="A68" s="9">
        <v>6.6485485E7</v>
      </c>
      <c r="B68" s="9" t="s">
        <v>136</v>
      </c>
      <c r="C68" s="9" t="s">
        <v>138</v>
      </c>
      <c r="D68" s="9" t="s">
        <v>8</v>
      </c>
      <c r="E68" s="9" t="s">
        <v>21</v>
      </c>
      <c r="F68" s="9" t="s">
        <v>26</v>
      </c>
      <c r="G68" s="10">
        <v>54000.0</v>
      </c>
      <c r="H68" s="9" t="s">
        <v>23</v>
      </c>
    </row>
    <row r="69" ht="12.75" customHeight="1">
      <c r="A69" s="9">
        <v>6.6485627E7</v>
      </c>
      <c r="B69" s="9" t="s">
        <v>139</v>
      </c>
      <c r="C69" s="9" t="s">
        <v>140</v>
      </c>
      <c r="D69" s="9" t="s">
        <v>9</v>
      </c>
      <c r="E69" s="9" t="s">
        <v>21</v>
      </c>
      <c r="F69" s="9" t="s">
        <v>26</v>
      </c>
      <c r="G69" s="10">
        <v>5000.0</v>
      </c>
      <c r="H69" s="9" t="s">
        <v>23</v>
      </c>
    </row>
    <row r="70" ht="12.75" customHeight="1">
      <c r="A70" s="9">
        <v>6.6486538E7</v>
      </c>
      <c r="B70" s="9" t="s">
        <v>141</v>
      </c>
      <c r="C70" s="9" t="s">
        <v>142</v>
      </c>
      <c r="D70" s="9" t="s">
        <v>9</v>
      </c>
      <c r="E70" s="9" t="s">
        <v>21</v>
      </c>
      <c r="F70" s="9" t="s">
        <v>143</v>
      </c>
      <c r="G70" s="10">
        <v>5000.0</v>
      </c>
      <c r="H70" s="9" t="s">
        <v>23</v>
      </c>
    </row>
    <row r="71" ht="12.75" customHeight="1">
      <c r="A71" s="9">
        <v>6.648654E7</v>
      </c>
      <c r="B71" s="9" t="s">
        <v>144</v>
      </c>
      <c r="C71" s="9" t="s">
        <v>145</v>
      </c>
      <c r="D71" s="9" t="s">
        <v>4</v>
      </c>
      <c r="E71" s="9" t="s">
        <v>21</v>
      </c>
      <c r="F71" s="9" t="s">
        <v>143</v>
      </c>
      <c r="G71" s="10">
        <v>1280.0</v>
      </c>
      <c r="H71" s="9" t="s">
        <v>23</v>
      </c>
    </row>
    <row r="72" ht="12.75" customHeight="1">
      <c r="A72" s="9">
        <v>6.6486545E7</v>
      </c>
      <c r="B72" s="9" t="s">
        <v>146</v>
      </c>
      <c r="C72" s="9" t="s">
        <v>147</v>
      </c>
      <c r="D72" s="9" t="s">
        <v>9</v>
      </c>
      <c r="E72" s="9" t="s">
        <v>21</v>
      </c>
      <c r="F72" s="9" t="s">
        <v>143</v>
      </c>
      <c r="G72" s="10">
        <v>5000.0</v>
      </c>
      <c r="H72" s="9" t="s">
        <v>23</v>
      </c>
    </row>
    <row r="73" ht="12.75" customHeight="1">
      <c r="A73" s="9">
        <v>6.6486808E7</v>
      </c>
      <c r="B73" s="9" t="s">
        <v>148</v>
      </c>
      <c r="C73" s="9" t="s">
        <v>149</v>
      </c>
      <c r="D73" s="9" t="s">
        <v>4</v>
      </c>
      <c r="E73" s="9" t="s">
        <v>21</v>
      </c>
      <c r="F73" s="9" t="s">
        <v>143</v>
      </c>
      <c r="G73" s="10">
        <v>16000.0</v>
      </c>
      <c r="H73" s="9" t="s">
        <v>23</v>
      </c>
    </row>
    <row r="74" ht="12.75" customHeight="1">
      <c r="A74" s="9">
        <v>6.6486814E7</v>
      </c>
      <c r="B74" s="9" t="s">
        <v>148</v>
      </c>
      <c r="C74" s="9" t="s">
        <v>150</v>
      </c>
      <c r="D74" s="9" t="s">
        <v>9</v>
      </c>
      <c r="E74" s="9" t="s">
        <v>21</v>
      </c>
      <c r="F74" s="9" t="s">
        <v>143</v>
      </c>
      <c r="G74" s="10">
        <v>15000.0</v>
      </c>
      <c r="H74" s="9" t="s">
        <v>23</v>
      </c>
    </row>
    <row r="75" ht="12.75" customHeight="1">
      <c r="A75" s="9">
        <v>6.6487984E7</v>
      </c>
      <c r="B75" s="9" t="s">
        <v>151</v>
      </c>
      <c r="C75" s="9" t="s">
        <v>152</v>
      </c>
      <c r="D75" s="9" t="s">
        <v>9</v>
      </c>
      <c r="E75" s="9" t="s">
        <v>21</v>
      </c>
      <c r="F75" s="9" t="s">
        <v>22</v>
      </c>
      <c r="G75" s="10">
        <v>15000.0</v>
      </c>
      <c r="H75" s="9" t="s">
        <v>23</v>
      </c>
    </row>
    <row r="76" ht="12.75" customHeight="1">
      <c r="A76" s="9">
        <v>6.6488037E7</v>
      </c>
      <c r="B76" s="9" t="s">
        <v>73</v>
      </c>
      <c r="C76" s="9" t="s">
        <v>153</v>
      </c>
      <c r="D76" s="9" t="s">
        <v>3</v>
      </c>
      <c r="E76" s="9" t="s">
        <v>21</v>
      </c>
      <c r="F76" s="9" t="s">
        <v>22</v>
      </c>
      <c r="G76" s="10">
        <v>13056.0</v>
      </c>
      <c r="H76" s="9" t="s">
        <v>23</v>
      </c>
    </row>
    <row r="77" ht="12.75" customHeight="1">
      <c r="A77" s="9">
        <v>6.6488066E7</v>
      </c>
      <c r="B77" s="9" t="s">
        <v>154</v>
      </c>
      <c r="C77" s="9" t="s">
        <v>155</v>
      </c>
      <c r="D77" s="9" t="s">
        <v>9</v>
      </c>
      <c r="E77" s="9" t="s">
        <v>21</v>
      </c>
      <c r="F77" s="9" t="s">
        <v>22</v>
      </c>
      <c r="G77" s="10">
        <v>15000.0</v>
      </c>
      <c r="H77" s="9" t="s">
        <v>23</v>
      </c>
    </row>
    <row r="78" ht="12.75" customHeight="1">
      <c r="A78" s="9">
        <v>6.6488071E7</v>
      </c>
      <c r="B78" s="9" t="s">
        <v>156</v>
      </c>
      <c r="C78" s="9" t="s">
        <v>157</v>
      </c>
      <c r="D78" s="9" t="s">
        <v>7</v>
      </c>
      <c r="E78" s="9" t="s">
        <v>21</v>
      </c>
      <c r="F78" s="9" t="s">
        <v>22</v>
      </c>
      <c r="G78" s="10">
        <v>60504.0</v>
      </c>
      <c r="H78" s="9" t="s">
        <v>23</v>
      </c>
    </row>
    <row r="79" ht="12.75" customHeight="1">
      <c r="A79" s="9">
        <v>6.6490836E7</v>
      </c>
      <c r="B79" s="9" t="s">
        <v>104</v>
      </c>
      <c r="C79" s="9" t="s">
        <v>158</v>
      </c>
      <c r="D79" s="9" t="s">
        <v>7</v>
      </c>
      <c r="E79" s="9" t="s">
        <v>21</v>
      </c>
      <c r="F79" s="9" t="s">
        <v>159</v>
      </c>
      <c r="G79" s="10">
        <v>32184.0</v>
      </c>
      <c r="H79" s="9" t="s">
        <v>23</v>
      </c>
    </row>
    <row r="80" ht="12.75" customHeight="1">
      <c r="A80" s="9">
        <v>6.6491244E7</v>
      </c>
      <c r="B80" s="9" t="s">
        <v>160</v>
      </c>
      <c r="C80" s="9" t="s">
        <v>161</v>
      </c>
      <c r="D80" s="9" t="s">
        <v>9</v>
      </c>
      <c r="E80" s="9" t="s">
        <v>21</v>
      </c>
      <c r="F80" s="9" t="s">
        <v>159</v>
      </c>
      <c r="G80" s="10">
        <v>15000.0</v>
      </c>
      <c r="H80" s="9" t="s">
        <v>23</v>
      </c>
    </row>
    <row r="81" ht="12.75" customHeight="1">
      <c r="A81" s="9">
        <v>6.6491247E7</v>
      </c>
      <c r="B81" s="9" t="s">
        <v>162</v>
      </c>
      <c r="C81" s="9" t="s">
        <v>163</v>
      </c>
      <c r="D81" s="9" t="s">
        <v>7</v>
      </c>
      <c r="E81" s="9" t="s">
        <v>21</v>
      </c>
      <c r="F81" s="9" t="s">
        <v>159</v>
      </c>
      <c r="G81" s="10">
        <v>45446.0</v>
      </c>
      <c r="H81" s="9" t="s">
        <v>23</v>
      </c>
    </row>
    <row r="82" ht="12.75" customHeight="1">
      <c r="A82" s="9">
        <v>6.6491269E7</v>
      </c>
      <c r="B82" s="9" t="s">
        <v>164</v>
      </c>
      <c r="C82" s="9" t="s">
        <v>165</v>
      </c>
      <c r="D82" s="9" t="s">
        <v>9</v>
      </c>
      <c r="E82" s="9" t="s">
        <v>21</v>
      </c>
      <c r="F82" s="9" t="s">
        <v>159</v>
      </c>
      <c r="G82" s="10">
        <v>5000.0</v>
      </c>
      <c r="H82" s="9" t="s">
        <v>23</v>
      </c>
    </row>
    <row r="83" ht="12.75" customHeight="1">
      <c r="A83" s="9">
        <v>6.6491289E7</v>
      </c>
      <c r="B83" s="9" t="s">
        <v>166</v>
      </c>
      <c r="C83" s="9" t="s">
        <v>167</v>
      </c>
      <c r="D83" s="9" t="s">
        <v>3</v>
      </c>
      <c r="E83" s="9" t="s">
        <v>21</v>
      </c>
      <c r="F83" s="9" t="s">
        <v>159</v>
      </c>
      <c r="G83" s="10">
        <v>9920.0</v>
      </c>
      <c r="H83" s="9" t="s">
        <v>23</v>
      </c>
    </row>
    <row r="84" ht="12.75" customHeight="1">
      <c r="A84" s="9">
        <v>6.6491671E7</v>
      </c>
      <c r="B84" s="9" t="s">
        <v>168</v>
      </c>
      <c r="C84" s="9" t="s">
        <v>169</v>
      </c>
      <c r="D84" s="9" t="s">
        <v>9</v>
      </c>
      <c r="E84" s="9" t="s">
        <v>21</v>
      </c>
      <c r="F84" s="9" t="s">
        <v>170</v>
      </c>
      <c r="G84" s="10">
        <v>10000.0</v>
      </c>
      <c r="H84" s="9" t="s">
        <v>23</v>
      </c>
    </row>
    <row r="85" ht="12.75" customHeight="1">
      <c r="A85" s="9">
        <v>6.6491701E7</v>
      </c>
      <c r="B85" s="9" t="s">
        <v>171</v>
      </c>
      <c r="C85" s="9" t="s">
        <v>172</v>
      </c>
      <c r="D85" s="9" t="s">
        <v>9</v>
      </c>
      <c r="E85" s="9" t="s">
        <v>21</v>
      </c>
      <c r="F85" s="9" t="s">
        <v>170</v>
      </c>
      <c r="G85" s="10">
        <v>5000.0</v>
      </c>
      <c r="H85" s="9" t="s">
        <v>23</v>
      </c>
    </row>
    <row r="86" ht="12.75" customHeight="1">
      <c r="A86" s="9">
        <v>6.6491712E7</v>
      </c>
      <c r="B86" s="9" t="s">
        <v>173</v>
      </c>
      <c r="C86" s="9" t="s">
        <v>174</v>
      </c>
      <c r="D86" s="9" t="s">
        <v>3</v>
      </c>
      <c r="E86" s="9" t="s">
        <v>21</v>
      </c>
      <c r="F86" s="9" t="s">
        <v>170</v>
      </c>
      <c r="G86" s="10">
        <v>3200.0</v>
      </c>
      <c r="H86" s="9" t="s">
        <v>23</v>
      </c>
    </row>
    <row r="87" ht="12.75" customHeight="1">
      <c r="A87" s="9">
        <v>6.6491814E7</v>
      </c>
      <c r="B87" s="9" t="s">
        <v>175</v>
      </c>
      <c r="C87" s="9" t="s">
        <v>176</v>
      </c>
      <c r="D87" s="9" t="s">
        <v>9</v>
      </c>
      <c r="E87" s="9" t="s">
        <v>21</v>
      </c>
      <c r="F87" s="9" t="s">
        <v>170</v>
      </c>
      <c r="G87" s="10">
        <v>15000.0</v>
      </c>
      <c r="H87" s="9" t="s">
        <v>23</v>
      </c>
    </row>
    <row r="88" ht="12.75" customHeight="1">
      <c r="A88" s="9">
        <v>6.649182E7</v>
      </c>
      <c r="B88" s="9" t="s">
        <v>175</v>
      </c>
      <c r="C88" s="9" t="s">
        <v>177</v>
      </c>
      <c r="D88" s="9" t="s">
        <v>4</v>
      </c>
      <c r="E88" s="9" t="s">
        <v>21</v>
      </c>
      <c r="F88" s="9" t="s">
        <v>170</v>
      </c>
      <c r="G88" s="10">
        <v>16000.0</v>
      </c>
      <c r="H88" s="9" t="s">
        <v>23</v>
      </c>
    </row>
    <row r="89" ht="12.75" customHeight="1">
      <c r="A89" s="9">
        <v>6.6491828E7</v>
      </c>
      <c r="B89" s="9" t="s">
        <v>178</v>
      </c>
      <c r="C89" s="9" t="s">
        <v>179</v>
      </c>
      <c r="D89" s="9" t="s">
        <v>9</v>
      </c>
      <c r="E89" s="9" t="s">
        <v>21</v>
      </c>
      <c r="F89" s="9" t="s">
        <v>170</v>
      </c>
      <c r="G89" s="10">
        <v>5000.0</v>
      </c>
      <c r="H89" s="9" t="s">
        <v>23</v>
      </c>
    </row>
    <row r="90" ht="12.75" customHeight="1">
      <c r="A90" s="9">
        <v>6.6491831E7</v>
      </c>
      <c r="B90" s="9" t="s">
        <v>178</v>
      </c>
      <c r="C90" s="9" t="s">
        <v>180</v>
      </c>
      <c r="D90" s="9" t="s">
        <v>3</v>
      </c>
      <c r="E90" s="9" t="s">
        <v>21</v>
      </c>
      <c r="F90" s="9" t="s">
        <v>170</v>
      </c>
      <c r="G90" s="10">
        <v>3200.0</v>
      </c>
      <c r="H90" s="9" t="s">
        <v>23</v>
      </c>
    </row>
    <row r="91" ht="12.75" customHeight="1">
      <c r="A91" s="9">
        <v>6.6491936E7</v>
      </c>
      <c r="B91" s="9" t="s">
        <v>181</v>
      </c>
      <c r="C91" s="9" t="s">
        <v>182</v>
      </c>
      <c r="D91" s="9" t="s">
        <v>9</v>
      </c>
      <c r="E91" s="9" t="s">
        <v>21</v>
      </c>
      <c r="F91" s="9" t="s">
        <v>170</v>
      </c>
      <c r="G91" s="10">
        <v>5000.0</v>
      </c>
      <c r="H91" s="9" t="s">
        <v>23</v>
      </c>
    </row>
    <row r="92" ht="12.75" customHeight="1">
      <c r="A92" s="9">
        <v>6.6492809E7</v>
      </c>
      <c r="B92" s="9" t="s">
        <v>183</v>
      </c>
      <c r="C92" s="9" t="s">
        <v>184</v>
      </c>
      <c r="D92" s="9" t="s">
        <v>3</v>
      </c>
      <c r="E92" s="9" t="s">
        <v>21</v>
      </c>
      <c r="F92" s="9" t="s">
        <v>29</v>
      </c>
      <c r="G92" s="10">
        <v>1600.0</v>
      </c>
      <c r="H92" s="9" t="s">
        <v>23</v>
      </c>
    </row>
    <row r="93" ht="12.75" customHeight="1">
      <c r="A93" s="9">
        <v>6.6492965E7</v>
      </c>
      <c r="B93" s="9" t="s">
        <v>185</v>
      </c>
      <c r="C93" s="9" t="s">
        <v>186</v>
      </c>
      <c r="D93" s="9" t="s">
        <v>9</v>
      </c>
      <c r="E93" s="9" t="s">
        <v>21</v>
      </c>
      <c r="F93" s="9" t="s">
        <v>29</v>
      </c>
      <c r="G93" s="10">
        <v>5000.0</v>
      </c>
      <c r="H93" s="9" t="s">
        <v>23</v>
      </c>
    </row>
    <row r="94" ht="12.75" customHeight="1">
      <c r="A94" s="9">
        <v>6.649297E7</v>
      </c>
      <c r="B94" s="9" t="s">
        <v>187</v>
      </c>
      <c r="C94" s="9" t="s">
        <v>188</v>
      </c>
      <c r="D94" s="9" t="s">
        <v>9</v>
      </c>
      <c r="E94" s="9" t="s">
        <v>21</v>
      </c>
      <c r="F94" s="9" t="s">
        <v>29</v>
      </c>
      <c r="G94" s="10">
        <v>5000.0</v>
      </c>
      <c r="H94" s="9" t="s">
        <v>23</v>
      </c>
    </row>
    <row r="95" ht="12.75" customHeight="1">
      <c r="A95" s="9">
        <v>6.6492974E7</v>
      </c>
      <c r="B95" s="9" t="s">
        <v>185</v>
      </c>
      <c r="C95" s="9" t="s">
        <v>189</v>
      </c>
      <c r="D95" s="9" t="s">
        <v>4</v>
      </c>
      <c r="E95" s="9" t="s">
        <v>21</v>
      </c>
      <c r="F95" s="9" t="s">
        <v>29</v>
      </c>
      <c r="G95" s="10">
        <v>2000.0</v>
      </c>
      <c r="H95" s="9" t="s">
        <v>23</v>
      </c>
    </row>
    <row r="96" ht="12.75" customHeight="1">
      <c r="A96" s="9">
        <v>6.6492977E7</v>
      </c>
      <c r="B96" s="9" t="s">
        <v>187</v>
      </c>
      <c r="C96" s="9" t="s">
        <v>190</v>
      </c>
      <c r="D96" s="9" t="s">
        <v>4</v>
      </c>
      <c r="E96" s="9" t="s">
        <v>21</v>
      </c>
      <c r="F96" s="9" t="s">
        <v>29</v>
      </c>
      <c r="G96" s="10">
        <v>2000.0</v>
      </c>
      <c r="H96" s="9" t="s">
        <v>23</v>
      </c>
    </row>
    <row r="97" ht="12.75" customHeight="1">
      <c r="A97" s="9">
        <v>6.6493365E7</v>
      </c>
      <c r="B97" s="9" t="s">
        <v>191</v>
      </c>
      <c r="C97" s="9" t="s">
        <v>192</v>
      </c>
      <c r="D97" s="9" t="s">
        <v>9</v>
      </c>
      <c r="E97" s="9" t="s">
        <v>21</v>
      </c>
      <c r="F97" s="9" t="s">
        <v>29</v>
      </c>
      <c r="G97" s="10">
        <v>5000.0</v>
      </c>
      <c r="H97" s="9" t="s">
        <v>23</v>
      </c>
    </row>
    <row r="98" ht="12.75" customHeight="1">
      <c r="A98" s="9">
        <v>6.649339E7</v>
      </c>
      <c r="B98" s="9" t="s">
        <v>193</v>
      </c>
      <c r="C98" s="9" t="s">
        <v>194</v>
      </c>
      <c r="D98" s="9" t="s">
        <v>9</v>
      </c>
      <c r="E98" s="9" t="s">
        <v>21</v>
      </c>
      <c r="F98" s="9" t="s">
        <v>29</v>
      </c>
      <c r="G98" s="10">
        <v>5000.0</v>
      </c>
      <c r="H98" s="9" t="s">
        <v>23</v>
      </c>
    </row>
    <row r="99" ht="12.75" customHeight="1">
      <c r="A99" s="9">
        <v>6.6493392E7</v>
      </c>
      <c r="B99" s="9" t="s">
        <v>195</v>
      </c>
      <c r="C99" s="9" t="s">
        <v>196</v>
      </c>
      <c r="D99" s="9" t="s">
        <v>8</v>
      </c>
      <c r="E99" s="9" t="s">
        <v>21</v>
      </c>
      <c r="F99" s="9" t="s">
        <v>29</v>
      </c>
      <c r="G99" s="10">
        <v>70000.0</v>
      </c>
      <c r="H99" s="9" t="s">
        <v>23</v>
      </c>
    </row>
    <row r="100" ht="12.75" customHeight="1">
      <c r="A100" s="9">
        <v>6.6493427E7</v>
      </c>
      <c r="B100" s="9" t="s">
        <v>197</v>
      </c>
      <c r="C100" s="9" t="s">
        <v>198</v>
      </c>
      <c r="D100" s="9" t="s">
        <v>9</v>
      </c>
      <c r="E100" s="9" t="s">
        <v>21</v>
      </c>
      <c r="F100" s="9" t="s">
        <v>29</v>
      </c>
      <c r="G100" s="10">
        <v>5000.0</v>
      </c>
      <c r="H100" s="9" t="s">
        <v>23</v>
      </c>
    </row>
    <row r="101" ht="12.75" customHeight="1">
      <c r="A101" s="9">
        <v>6.6493432E7</v>
      </c>
      <c r="B101" s="9" t="s">
        <v>199</v>
      </c>
      <c r="C101" s="9" t="s">
        <v>200</v>
      </c>
      <c r="D101" s="9" t="s">
        <v>7</v>
      </c>
      <c r="E101" s="9" t="s">
        <v>21</v>
      </c>
      <c r="F101" s="9" t="s">
        <v>29</v>
      </c>
      <c r="G101" s="10">
        <v>21974.0</v>
      </c>
      <c r="H101" s="9" t="s">
        <v>23</v>
      </c>
    </row>
    <row r="102" ht="12.75" customHeight="1">
      <c r="A102" s="9">
        <v>6.6493829E7</v>
      </c>
      <c r="B102" s="9" t="s">
        <v>201</v>
      </c>
      <c r="C102" s="9" t="s">
        <v>202</v>
      </c>
      <c r="D102" s="9" t="s">
        <v>9</v>
      </c>
      <c r="E102" s="9" t="s">
        <v>21</v>
      </c>
      <c r="F102" s="9" t="s">
        <v>203</v>
      </c>
      <c r="G102" s="10">
        <v>5000.0</v>
      </c>
      <c r="H102" s="9" t="s">
        <v>23</v>
      </c>
    </row>
    <row r="103" ht="12.75" customHeight="1">
      <c r="A103" s="9">
        <v>6.6493831E7</v>
      </c>
      <c r="B103" s="9" t="s">
        <v>201</v>
      </c>
      <c r="C103" s="9" t="s">
        <v>204</v>
      </c>
      <c r="D103" s="9" t="s">
        <v>4</v>
      </c>
      <c r="E103" s="9" t="s">
        <v>21</v>
      </c>
      <c r="F103" s="9" t="s">
        <v>203</v>
      </c>
      <c r="G103" s="10">
        <v>14000.0</v>
      </c>
      <c r="H103" s="9" t="s">
        <v>23</v>
      </c>
    </row>
    <row r="104" ht="12.75" customHeight="1">
      <c r="A104" s="9">
        <v>6.6493845E7</v>
      </c>
      <c r="B104" s="9" t="s">
        <v>205</v>
      </c>
      <c r="C104" s="9" t="s">
        <v>206</v>
      </c>
      <c r="D104" s="9" t="s">
        <v>9</v>
      </c>
      <c r="E104" s="9" t="s">
        <v>21</v>
      </c>
      <c r="F104" s="9" t="s">
        <v>203</v>
      </c>
      <c r="G104" s="10">
        <v>5000.0</v>
      </c>
      <c r="H104" s="9" t="s">
        <v>23</v>
      </c>
    </row>
    <row r="105" ht="12.75" customHeight="1">
      <c r="A105" s="9">
        <v>6.6493851E7</v>
      </c>
      <c r="B105" s="9" t="s">
        <v>205</v>
      </c>
      <c r="C105" s="9" t="s">
        <v>207</v>
      </c>
      <c r="D105" s="9" t="s">
        <v>4</v>
      </c>
      <c r="E105" s="9" t="s">
        <v>21</v>
      </c>
      <c r="F105" s="9" t="s">
        <v>203</v>
      </c>
      <c r="G105" s="10">
        <v>14000.0</v>
      </c>
      <c r="H105" s="9" t="s">
        <v>23</v>
      </c>
    </row>
    <row r="106" ht="12.75" customHeight="1">
      <c r="A106" s="9">
        <v>6.6493854E7</v>
      </c>
      <c r="B106" s="9" t="s">
        <v>208</v>
      </c>
      <c r="C106" s="9" t="s">
        <v>209</v>
      </c>
      <c r="D106" s="9" t="s">
        <v>9</v>
      </c>
      <c r="E106" s="9" t="s">
        <v>21</v>
      </c>
      <c r="F106" s="9" t="s">
        <v>203</v>
      </c>
      <c r="G106" s="10">
        <v>5000.0</v>
      </c>
      <c r="H106" s="9" t="s">
        <v>23</v>
      </c>
    </row>
    <row r="107" ht="12.75" customHeight="1">
      <c r="A107" s="9">
        <v>6.6493856E7</v>
      </c>
      <c r="B107" s="9" t="s">
        <v>208</v>
      </c>
      <c r="C107" s="9" t="s">
        <v>210</v>
      </c>
      <c r="D107" s="9" t="s">
        <v>4</v>
      </c>
      <c r="E107" s="9" t="s">
        <v>21</v>
      </c>
      <c r="F107" s="9" t="s">
        <v>203</v>
      </c>
      <c r="G107" s="10">
        <v>2000.0</v>
      </c>
      <c r="H107" s="9" t="s">
        <v>23</v>
      </c>
    </row>
    <row r="108" ht="12.75" customHeight="1">
      <c r="A108" s="9">
        <v>6.6493868E7</v>
      </c>
      <c r="B108" s="9" t="s">
        <v>211</v>
      </c>
      <c r="C108" s="9" t="s">
        <v>212</v>
      </c>
      <c r="D108" s="9" t="s">
        <v>9</v>
      </c>
      <c r="E108" s="9" t="s">
        <v>21</v>
      </c>
      <c r="F108" s="9" t="s">
        <v>203</v>
      </c>
      <c r="G108" s="10">
        <v>5000.0</v>
      </c>
      <c r="H108" s="9" t="s">
        <v>23</v>
      </c>
    </row>
    <row r="109" ht="12.75" customHeight="1">
      <c r="A109" s="9">
        <v>6.6493872E7</v>
      </c>
      <c r="B109" s="9" t="s">
        <v>211</v>
      </c>
      <c r="C109" s="9" t="s">
        <v>213</v>
      </c>
      <c r="D109" s="9" t="s">
        <v>4</v>
      </c>
      <c r="E109" s="9" t="s">
        <v>21</v>
      </c>
      <c r="F109" s="9" t="s">
        <v>203</v>
      </c>
      <c r="G109" s="10">
        <v>7000.0</v>
      </c>
      <c r="H109" s="9" t="s">
        <v>23</v>
      </c>
    </row>
    <row r="110" ht="12.75" customHeight="1">
      <c r="A110" s="9">
        <v>6.6493887E7</v>
      </c>
      <c r="B110" s="9" t="s">
        <v>185</v>
      </c>
      <c r="C110" s="9" t="s">
        <v>214</v>
      </c>
      <c r="D110" s="9" t="s">
        <v>9</v>
      </c>
      <c r="E110" s="9" t="s">
        <v>21</v>
      </c>
      <c r="F110" s="9" t="s">
        <v>203</v>
      </c>
      <c r="G110" s="10">
        <v>5000.0</v>
      </c>
      <c r="H110" s="9" t="s">
        <v>23</v>
      </c>
    </row>
    <row r="111" ht="12.75" customHeight="1">
      <c r="A111" s="9">
        <v>6.6493894E7</v>
      </c>
      <c r="B111" s="9" t="s">
        <v>185</v>
      </c>
      <c r="C111" s="9" t="s">
        <v>215</v>
      </c>
      <c r="D111" s="9" t="s">
        <v>4</v>
      </c>
      <c r="E111" s="9" t="s">
        <v>21</v>
      </c>
      <c r="F111" s="9" t="s">
        <v>203</v>
      </c>
      <c r="G111" s="10">
        <v>2000.0</v>
      </c>
      <c r="H111" s="9" t="s">
        <v>23</v>
      </c>
    </row>
    <row r="112" ht="12.75" customHeight="1">
      <c r="A112" s="9">
        <v>6.6494111E7</v>
      </c>
      <c r="B112" s="9" t="s">
        <v>216</v>
      </c>
      <c r="C112" s="9" t="s">
        <v>217</v>
      </c>
      <c r="D112" s="9" t="s">
        <v>9</v>
      </c>
      <c r="E112" s="9" t="s">
        <v>21</v>
      </c>
      <c r="F112" s="9" t="s">
        <v>203</v>
      </c>
      <c r="G112" s="10">
        <v>10000.0</v>
      </c>
      <c r="H112" s="9" t="s">
        <v>23</v>
      </c>
    </row>
    <row r="113" ht="12.75" customHeight="1">
      <c r="A113" s="9">
        <v>6.6494117E7</v>
      </c>
      <c r="B113" s="9" t="s">
        <v>201</v>
      </c>
      <c r="C113" s="9" t="s">
        <v>218</v>
      </c>
      <c r="D113" s="9" t="s">
        <v>9</v>
      </c>
      <c r="E113" s="9" t="s">
        <v>21</v>
      </c>
      <c r="F113" s="9" t="s">
        <v>203</v>
      </c>
      <c r="G113" s="10">
        <v>5000.0</v>
      </c>
      <c r="H113" s="9" t="s">
        <v>23</v>
      </c>
    </row>
    <row r="114" ht="12.75" customHeight="1">
      <c r="A114" s="9">
        <v>6.6494118E7</v>
      </c>
      <c r="B114" s="9" t="s">
        <v>216</v>
      </c>
      <c r="C114" s="9" t="s">
        <v>219</v>
      </c>
      <c r="D114" s="9" t="s">
        <v>4</v>
      </c>
      <c r="E114" s="9" t="s">
        <v>21</v>
      </c>
      <c r="F114" s="9" t="s">
        <v>203</v>
      </c>
      <c r="G114" s="10">
        <v>20000.0</v>
      </c>
      <c r="H114" s="9" t="s">
        <v>23</v>
      </c>
    </row>
    <row r="115" ht="12.75" customHeight="1">
      <c r="A115" s="9">
        <v>6.6494128E7</v>
      </c>
      <c r="B115" s="9" t="s">
        <v>201</v>
      </c>
      <c r="C115" s="9" t="s">
        <v>220</v>
      </c>
      <c r="D115" s="9" t="s">
        <v>4</v>
      </c>
      <c r="E115" s="9" t="s">
        <v>21</v>
      </c>
      <c r="F115" s="9" t="s">
        <v>203</v>
      </c>
      <c r="G115" s="10">
        <v>14000.0</v>
      </c>
      <c r="H115" s="9" t="s">
        <v>23</v>
      </c>
    </row>
    <row r="116" ht="12.75" customHeight="1">
      <c r="A116" s="9">
        <v>6.6494136E7</v>
      </c>
      <c r="B116" s="9" t="s">
        <v>221</v>
      </c>
      <c r="C116" s="9" t="s">
        <v>222</v>
      </c>
      <c r="D116" s="9" t="s">
        <v>9</v>
      </c>
      <c r="E116" s="9" t="s">
        <v>21</v>
      </c>
      <c r="F116" s="9" t="s">
        <v>203</v>
      </c>
      <c r="G116" s="10">
        <v>10000.0</v>
      </c>
      <c r="H116" s="9" t="s">
        <v>23</v>
      </c>
    </row>
    <row r="117" ht="12.75" customHeight="1">
      <c r="A117" s="9">
        <v>6.6494142E7</v>
      </c>
      <c r="B117" s="9" t="s">
        <v>221</v>
      </c>
      <c r="C117" s="9" t="s">
        <v>223</v>
      </c>
      <c r="D117" s="9" t="s">
        <v>8</v>
      </c>
      <c r="E117" s="9" t="s">
        <v>21</v>
      </c>
      <c r="F117" s="9" t="s">
        <v>203</v>
      </c>
      <c r="G117" s="10">
        <v>70000.0</v>
      </c>
      <c r="H117" s="9" t="s">
        <v>23</v>
      </c>
    </row>
    <row r="118" ht="12.75" customHeight="1">
      <c r="A118" s="9">
        <v>6.6494156E7</v>
      </c>
      <c r="B118" s="9" t="s">
        <v>224</v>
      </c>
      <c r="C118" s="9" t="s">
        <v>225</v>
      </c>
      <c r="D118" s="9" t="s">
        <v>9</v>
      </c>
      <c r="E118" s="9" t="s">
        <v>21</v>
      </c>
      <c r="F118" s="9" t="s">
        <v>203</v>
      </c>
      <c r="G118" s="10">
        <v>5000.0</v>
      </c>
      <c r="H118" s="9" t="s">
        <v>23</v>
      </c>
    </row>
    <row r="119" ht="12.75" customHeight="1">
      <c r="A119" s="9">
        <v>6.6494162E7</v>
      </c>
      <c r="B119" s="9" t="s">
        <v>208</v>
      </c>
      <c r="C119" s="9" t="s">
        <v>226</v>
      </c>
      <c r="D119" s="9" t="s">
        <v>9</v>
      </c>
      <c r="E119" s="9" t="s">
        <v>21</v>
      </c>
      <c r="F119" s="9" t="s">
        <v>203</v>
      </c>
      <c r="G119" s="10">
        <v>5000.0</v>
      </c>
      <c r="H119" s="9" t="s">
        <v>23</v>
      </c>
    </row>
    <row r="120" ht="12.75" customHeight="1">
      <c r="A120" s="9">
        <v>6.6494164E7</v>
      </c>
      <c r="B120" s="9" t="s">
        <v>208</v>
      </c>
      <c r="C120" s="9" t="s">
        <v>227</v>
      </c>
      <c r="D120" s="9" t="s">
        <v>4</v>
      </c>
      <c r="E120" s="9" t="s">
        <v>21</v>
      </c>
      <c r="F120" s="9" t="s">
        <v>203</v>
      </c>
      <c r="G120" s="10">
        <v>2000.0</v>
      </c>
      <c r="H120" s="9" t="s">
        <v>23</v>
      </c>
    </row>
    <row r="121" ht="12.75" customHeight="1">
      <c r="A121" s="9">
        <v>6.6494168E7</v>
      </c>
      <c r="B121" s="9" t="s">
        <v>224</v>
      </c>
      <c r="C121" s="9" t="s">
        <v>228</v>
      </c>
      <c r="D121" s="9" t="s">
        <v>7</v>
      </c>
      <c r="E121" s="9" t="s">
        <v>21</v>
      </c>
      <c r="F121" s="9" t="s">
        <v>203</v>
      </c>
      <c r="G121" s="10">
        <v>16662.0</v>
      </c>
      <c r="H121" s="9" t="s">
        <v>23</v>
      </c>
    </row>
    <row r="122" ht="12.75" customHeight="1">
      <c r="A122" s="9">
        <v>6.6494218E7</v>
      </c>
      <c r="B122" s="9" t="s">
        <v>229</v>
      </c>
      <c r="C122" s="9" t="s">
        <v>230</v>
      </c>
      <c r="D122" s="9" t="s">
        <v>10</v>
      </c>
      <c r="E122" s="9" t="s">
        <v>21</v>
      </c>
      <c r="F122" s="9" t="s">
        <v>203</v>
      </c>
      <c r="G122" s="10">
        <v>210000.0</v>
      </c>
      <c r="H122" s="9" t="s">
        <v>23</v>
      </c>
    </row>
    <row r="123" ht="12.75" customHeight="1">
      <c r="A123" s="9">
        <v>6.6494239E7</v>
      </c>
      <c r="B123" s="9" t="s">
        <v>229</v>
      </c>
      <c r="C123" s="9" t="s">
        <v>231</v>
      </c>
      <c r="D123" s="9" t="s">
        <v>2</v>
      </c>
      <c r="E123" s="9" t="s">
        <v>21</v>
      </c>
      <c r="F123" s="9" t="s">
        <v>203</v>
      </c>
      <c r="G123" s="10">
        <v>28000.0</v>
      </c>
      <c r="H123" s="9" t="s">
        <v>23</v>
      </c>
    </row>
    <row r="124" ht="12.75" customHeight="1">
      <c r="A124" s="9">
        <v>6.6494244E7</v>
      </c>
      <c r="B124" s="9" t="s">
        <v>185</v>
      </c>
      <c r="C124" s="9" t="s">
        <v>232</v>
      </c>
      <c r="D124" s="9" t="s">
        <v>9</v>
      </c>
      <c r="E124" s="9" t="s">
        <v>21</v>
      </c>
      <c r="F124" s="9" t="s">
        <v>203</v>
      </c>
      <c r="G124" s="10">
        <v>5000.0</v>
      </c>
      <c r="H124" s="9" t="s">
        <v>23</v>
      </c>
    </row>
    <row r="125" ht="12.75" customHeight="1">
      <c r="A125" s="9">
        <v>6.6494248E7</v>
      </c>
      <c r="B125" s="9" t="s">
        <v>185</v>
      </c>
      <c r="C125" s="9" t="s">
        <v>233</v>
      </c>
      <c r="D125" s="9" t="s">
        <v>4</v>
      </c>
      <c r="E125" s="9" t="s">
        <v>21</v>
      </c>
      <c r="F125" s="9" t="s">
        <v>203</v>
      </c>
      <c r="G125" s="10">
        <v>2000.0</v>
      </c>
      <c r="H125" s="9" t="s">
        <v>23</v>
      </c>
    </row>
    <row r="126" ht="12.75" customHeight="1">
      <c r="A126" s="9">
        <v>6.6494432E7</v>
      </c>
      <c r="B126" s="9" t="s">
        <v>234</v>
      </c>
      <c r="C126" s="9" t="s">
        <v>235</v>
      </c>
      <c r="D126" s="9" t="s">
        <v>9</v>
      </c>
      <c r="E126" s="9" t="s">
        <v>21</v>
      </c>
      <c r="F126" s="9" t="s">
        <v>203</v>
      </c>
      <c r="G126" s="10">
        <v>5000.0</v>
      </c>
      <c r="H126" s="9" t="s">
        <v>23</v>
      </c>
    </row>
    <row r="127" ht="12.75" customHeight="1">
      <c r="A127" s="9">
        <v>6.6494481E7</v>
      </c>
      <c r="B127" s="9" t="s">
        <v>236</v>
      </c>
      <c r="C127" s="9" t="s">
        <v>237</v>
      </c>
      <c r="D127" s="9" t="s">
        <v>9</v>
      </c>
      <c r="E127" s="9" t="s">
        <v>21</v>
      </c>
      <c r="F127" s="9" t="s">
        <v>203</v>
      </c>
      <c r="G127" s="10">
        <v>5000.0</v>
      </c>
      <c r="H127" s="9" t="s">
        <v>23</v>
      </c>
    </row>
    <row r="128" ht="12.75" customHeight="1">
      <c r="A128" s="9">
        <v>6.6494491E7</v>
      </c>
      <c r="B128" s="9" t="s">
        <v>236</v>
      </c>
      <c r="C128" s="9" t="s">
        <v>238</v>
      </c>
      <c r="D128" s="9" t="s">
        <v>8</v>
      </c>
      <c r="E128" s="9" t="s">
        <v>21</v>
      </c>
      <c r="F128" s="9" t="s">
        <v>203</v>
      </c>
      <c r="G128" s="10">
        <v>50000.0</v>
      </c>
      <c r="H128" s="9" t="s">
        <v>23</v>
      </c>
    </row>
    <row r="129" ht="12.75" customHeight="1">
      <c r="A129" s="9">
        <v>6.6494544E7</v>
      </c>
      <c r="B129" s="9" t="s">
        <v>239</v>
      </c>
      <c r="C129" s="9" t="s">
        <v>240</v>
      </c>
      <c r="D129" s="9" t="s">
        <v>9</v>
      </c>
      <c r="E129" s="9" t="s">
        <v>21</v>
      </c>
      <c r="F129" s="9" t="s">
        <v>203</v>
      </c>
      <c r="G129" s="10">
        <v>5000.0</v>
      </c>
      <c r="H129" s="9" t="s">
        <v>23</v>
      </c>
    </row>
    <row r="130" ht="12.75" customHeight="1">
      <c r="A130" s="9">
        <v>6.6494633E7</v>
      </c>
      <c r="B130" s="9" t="s">
        <v>208</v>
      </c>
      <c r="C130" s="9" t="s">
        <v>241</v>
      </c>
      <c r="D130" s="9" t="s">
        <v>9</v>
      </c>
      <c r="E130" s="9" t="s">
        <v>21</v>
      </c>
      <c r="F130" s="9" t="s">
        <v>203</v>
      </c>
      <c r="G130" s="10">
        <v>5000.0</v>
      </c>
      <c r="H130" s="9" t="s">
        <v>23</v>
      </c>
    </row>
    <row r="131" ht="12.75" customHeight="1">
      <c r="A131" s="9">
        <v>6.6494635E7</v>
      </c>
      <c r="B131" s="9" t="s">
        <v>208</v>
      </c>
      <c r="C131" s="9" t="s">
        <v>242</v>
      </c>
      <c r="D131" s="9" t="s">
        <v>4</v>
      </c>
      <c r="E131" s="9" t="s">
        <v>21</v>
      </c>
      <c r="F131" s="9" t="s">
        <v>203</v>
      </c>
      <c r="G131" s="10">
        <v>2000.0</v>
      </c>
      <c r="H131" s="9" t="s">
        <v>23</v>
      </c>
    </row>
    <row r="132" ht="12.75" customHeight="1">
      <c r="A132" s="9">
        <v>6.6494691E7</v>
      </c>
      <c r="B132" s="9" t="s">
        <v>205</v>
      </c>
      <c r="C132" s="9" t="s">
        <v>243</v>
      </c>
      <c r="D132" s="9" t="s">
        <v>9</v>
      </c>
      <c r="E132" s="9" t="s">
        <v>21</v>
      </c>
      <c r="F132" s="9" t="s">
        <v>203</v>
      </c>
      <c r="G132" s="10">
        <v>5000.0</v>
      </c>
      <c r="H132" s="9" t="s">
        <v>23</v>
      </c>
    </row>
    <row r="133" ht="12.75" customHeight="1">
      <c r="A133" s="9">
        <v>6.6494694E7</v>
      </c>
      <c r="B133" s="9" t="s">
        <v>211</v>
      </c>
      <c r="C133" s="9" t="s">
        <v>244</v>
      </c>
      <c r="D133" s="9" t="s">
        <v>9</v>
      </c>
      <c r="E133" s="9" t="s">
        <v>21</v>
      </c>
      <c r="F133" s="9" t="s">
        <v>203</v>
      </c>
      <c r="G133" s="10">
        <v>5000.0</v>
      </c>
      <c r="H133" s="9" t="s">
        <v>23</v>
      </c>
    </row>
    <row r="134" ht="12.75" customHeight="1">
      <c r="A134" s="9">
        <v>6.6494698E7</v>
      </c>
      <c r="B134" s="9" t="s">
        <v>211</v>
      </c>
      <c r="C134" s="9" t="s">
        <v>245</v>
      </c>
      <c r="D134" s="9" t="s">
        <v>4</v>
      </c>
      <c r="E134" s="9" t="s">
        <v>21</v>
      </c>
      <c r="F134" s="9" t="s">
        <v>203</v>
      </c>
      <c r="G134" s="10">
        <v>2000.0</v>
      </c>
      <c r="H134" s="9" t="s">
        <v>23</v>
      </c>
    </row>
    <row r="135" ht="12.75" customHeight="1">
      <c r="A135" s="9">
        <v>6.6495313E7</v>
      </c>
      <c r="B135" s="9" t="s">
        <v>246</v>
      </c>
      <c r="C135" s="9" t="s">
        <v>247</v>
      </c>
      <c r="D135" s="9" t="s">
        <v>9</v>
      </c>
      <c r="E135" s="9" t="s">
        <v>21</v>
      </c>
      <c r="F135" s="9" t="s">
        <v>248</v>
      </c>
      <c r="G135" s="10">
        <v>5000.0</v>
      </c>
      <c r="H135" s="9" t="s">
        <v>23</v>
      </c>
    </row>
    <row r="136" ht="12.75" customHeight="1">
      <c r="A136" s="9">
        <v>6.6495317E7</v>
      </c>
      <c r="B136" s="9" t="s">
        <v>249</v>
      </c>
      <c r="C136" s="9" t="s">
        <v>250</v>
      </c>
      <c r="D136" s="9" t="s">
        <v>4</v>
      </c>
      <c r="E136" s="9" t="s">
        <v>21</v>
      </c>
      <c r="F136" s="9" t="s">
        <v>248</v>
      </c>
      <c r="G136" s="10">
        <v>14000.0</v>
      </c>
      <c r="H136" s="9" t="s">
        <v>23</v>
      </c>
    </row>
    <row r="137" ht="12.75" customHeight="1">
      <c r="A137" s="9">
        <v>6.6495319E7</v>
      </c>
      <c r="B137" s="9" t="s">
        <v>249</v>
      </c>
      <c r="C137" s="9" t="s">
        <v>251</v>
      </c>
      <c r="D137" s="9" t="s">
        <v>4</v>
      </c>
      <c r="E137" s="9" t="s">
        <v>21</v>
      </c>
      <c r="F137" s="9" t="s">
        <v>248</v>
      </c>
      <c r="G137" s="10">
        <v>42000.0</v>
      </c>
      <c r="H137" s="9" t="s">
        <v>23</v>
      </c>
    </row>
    <row r="138" ht="12.75" customHeight="1">
      <c r="A138" s="9">
        <v>6.6495328E7</v>
      </c>
      <c r="B138" s="9" t="s">
        <v>252</v>
      </c>
      <c r="C138" s="9" t="s">
        <v>253</v>
      </c>
      <c r="D138" s="9" t="s">
        <v>9</v>
      </c>
      <c r="E138" s="9" t="s">
        <v>21</v>
      </c>
      <c r="F138" s="9" t="s">
        <v>248</v>
      </c>
      <c r="G138" s="10">
        <v>10000.0</v>
      </c>
      <c r="H138" s="9" t="s">
        <v>23</v>
      </c>
    </row>
    <row r="139" ht="12.75" customHeight="1">
      <c r="A139" s="9">
        <v>6.6495884E7</v>
      </c>
      <c r="B139" s="9" t="s">
        <v>201</v>
      </c>
      <c r="C139" s="9" t="s">
        <v>254</v>
      </c>
      <c r="D139" s="9" t="s">
        <v>9</v>
      </c>
      <c r="E139" s="9" t="s">
        <v>21</v>
      </c>
      <c r="F139" s="9" t="s">
        <v>248</v>
      </c>
      <c r="G139" s="10">
        <v>5000.0</v>
      </c>
      <c r="H139" s="9" t="s">
        <v>23</v>
      </c>
    </row>
    <row r="140" ht="12.75" customHeight="1">
      <c r="A140" s="9">
        <v>6.649589E7</v>
      </c>
      <c r="B140" s="9" t="s">
        <v>201</v>
      </c>
      <c r="C140" s="9" t="s">
        <v>255</v>
      </c>
      <c r="D140" s="9" t="s">
        <v>4</v>
      </c>
      <c r="E140" s="9" t="s">
        <v>21</v>
      </c>
      <c r="F140" s="9" t="s">
        <v>248</v>
      </c>
      <c r="G140" s="10">
        <v>14000.0</v>
      </c>
      <c r="H140" s="9" t="s">
        <v>23</v>
      </c>
    </row>
    <row r="141" ht="12.75" customHeight="1">
      <c r="A141" s="9">
        <v>6.6496156E7</v>
      </c>
      <c r="B141" s="9" t="s">
        <v>256</v>
      </c>
      <c r="C141" s="9" t="s">
        <v>257</v>
      </c>
      <c r="D141" s="9" t="s">
        <v>9</v>
      </c>
      <c r="E141" s="9" t="s">
        <v>21</v>
      </c>
      <c r="F141" s="9" t="s">
        <v>248</v>
      </c>
      <c r="G141" s="10">
        <v>5000.0</v>
      </c>
      <c r="H141" s="9" t="s">
        <v>23</v>
      </c>
    </row>
    <row r="142" ht="12.75" customHeight="1">
      <c r="A142" s="9">
        <v>6.6496158E7</v>
      </c>
      <c r="B142" s="9" t="s">
        <v>249</v>
      </c>
      <c r="C142" s="9" t="s">
        <v>258</v>
      </c>
      <c r="D142" s="9" t="s">
        <v>4</v>
      </c>
      <c r="E142" s="9" t="s">
        <v>21</v>
      </c>
      <c r="F142" s="9" t="s">
        <v>248</v>
      </c>
      <c r="G142" s="10">
        <v>14000.0</v>
      </c>
      <c r="H142" s="9" t="s">
        <v>23</v>
      </c>
    </row>
    <row r="143" ht="12.75" customHeight="1">
      <c r="A143" s="9">
        <v>6.6496182E7</v>
      </c>
      <c r="B143" s="9" t="s">
        <v>259</v>
      </c>
      <c r="C143" s="9" t="s">
        <v>260</v>
      </c>
      <c r="D143" s="9" t="s">
        <v>9</v>
      </c>
      <c r="E143" s="9" t="s">
        <v>21</v>
      </c>
      <c r="F143" s="9" t="s">
        <v>248</v>
      </c>
      <c r="G143" s="10">
        <v>5000.0</v>
      </c>
      <c r="H143" s="9" t="s">
        <v>23</v>
      </c>
    </row>
    <row r="144" ht="12.75" customHeight="1">
      <c r="A144" s="9">
        <v>6.6497023E7</v>
      </c>
      <c r="B144" s="9" t="s">
        <v>205</v>
      </c>
      <c r="C144" s="9" t="s">
        <v>261</v>
      </c>
      <c r="D144" s="9" t="s">
        <v>9</v>
      </c>
      <c r="E144" s="9" t="s">
        <v>21</v>
      </c>
      <c r="F144" s="9" t="s">
        <v>262</v>
      </c>
      <c r="G144" s="10">
        <v>5000.0</v>
      </c>
      <c r="H144" s="9" t="s">
        <v>23</v>
      </c>
    </row>
    <row r="145" ht="12.75" customHeight="1">
      <c r="A145" s="9">
        <v>6.6497035E7</v>
      </c>
      <c r="B145" s="9" t="s">
        <v>205</v>
      </c>
      <c r="C145" s="9" t="s">
        <v>263</v>
      </c>
      <c r="D145" s="9" t="s">
        <v>9</v>
      </c>
      <c r="E145" s="9" t="s">
        <v>21</v>
      </c>
      <c r="F145" s="9" t="s">
        <v>262</v>
      </c>
      <c r="G145" s="10">
        <v>5000.0</v>
      </c>
      <c r="H145" s="9" t="s">
        <v>23</v>
      </c>
    </row>
    <row r="146" ht="12.75" customHeight="1">
      <c r="A146" s="9">
        <v>6.649705E7</v>
      </c>
      <c r="B146" s="9" t="s">
        <v>205</v>
      </c>
      <c r="C146" s="9" t="s">
        <v>264</v>
      </c>
      <c r="D146" s="9" t="s">
        <v>4</v>
      </c>
      <c r="E146" s="9" t="s">
        <v>21</v>
      </c>
      <c r="F146" s="9" t="s">
        <v>262</v>
      </c>
      <c r="G146" s="10">
        <v>14000.0</v>
      </c>
      <c r="H146" s="9" t="s">
        <v>23</v>
      </c>
    </row>
    <row r="147" ht="12.75" customHeight="1">
      <c r="A147" s="9">
        <v>6.6497086E7</v>
      </c>
      <c r="B147" s="9" t="s">
        <v>265</v>
      </c>
      <c r="C147" s="9" t="s">
        <v>266</v>
      </c>
      <c r="D147" s="9" t="s">
        <v>7</v>
      </c>
      <c r="E147" s="9" t="s">
        <v>21</v>
      </c>
      <c r="F147" s="9" t="s">
        <v>262</v>
      </c>
      <c r="G147" s="10">
        <v>1000.0</v>
      </c>
      <c r="H147" s="9" t="s">
        <v>23</v>
      </c>
    </row>
    <row r="148" ht="12.75" customHeight="1">
      <c r="A148" s="9">
        <v>6.649713E7</v>
      </c>
      <c r="B148" s="9" t="s">
        <v>267</v>
      </c>
      <c r="C148" s="9" t="s">
        <v>268</v>
      </c>
      <c r="D148" s="9" t="s">
        <v>9</v>
      </c>
      <c r="E148" s="9" t="s">
        <v>21</v>
      </c>
      <c r="F148" s="9" t="s">
        <v>262</v>
      </c>
      <c r="G148" s="10">
        <v>5000.0</v>
      </c>
      <c r="H148" s="9" t="s">
        <v>23</v>
      </c>
    </row>
    <row r="149" ht="12.75" customHeight="1">
      <c r="A149" s="9">
        <v>6.6497492E7</v>
      </c>
      <c r="B149" s="9" t="s">
        <v>211</v>
      </c>
      <c r="C149" s="9" t="s">
        <v>269</v>
      </c>
      <c r="D149" s="9" t="s">
        <v>9</v>
      </c>
      <c r="E149" s="9" t="s">
        <v>21</v>
      </c>
      <c r="F149" s="9" t="s">
        <v>262</v>
      </c>
      <c r="G149" s="10">
        <v>5000.0</v>
      </c>
      <c r="H149" s="9" t="s">
        <v>23</v>
      </c>
    </row>
    <row r="150" ht="12.75" customHeight="1">
      <c r="A150" s="9">
        <v>6.6497496E7</v>
      </c>
      <c r="B150" s="9" t="s">
        <v>249</v>
      </c>
      <c r="C150" s="9" t="s">
        <v>270</v>
      </c>
      <c r="D150" s="9" t="s">
        <v>4</v>
      </c>
      <c r="E150" s="9" t="s">
        <v>21</v>
      </c>
      <c r="F150" s="9" t="s">
        <v>262</v>
      </c>
      <c r="G150" s="10">
        <v>7000.0</v>
      </c>
      <c r="H150" s="9" t="s">
        <v>23</v>
      </c>
    </row>
    <row r="151" ht="12.75" customHeight="1">
      <c r="A151" s="9">
        <v>6.6497675E7</v>
      </c>
      <c r="B151" s="9" t="s">
        <v>271</v>
      </c>
      <c r="C151" s="9" t="s">
        <v>272</v>
      </c>
      <c r="D151" s="9" t="s">
        <v>10</v>
      </c>
      <c r="E151" s="9" t="s">
        <v>21</v>
      </c>
      <c r="F151" s="9" t="s">
        <v>262</v>
      </c>
      <c r="G151" s="10">
        <v>210000.0</v>
      </c>
      <c r="H151" s="9" t="s">
        <v>23</v>
      </c>
    </row>
    <row r="152" ht="12.75" customHeight="1">
      <c r="A152" s="9">
        <v>6.6497692E7</v>
      </c>
      <c r="B152" s="9" t="s">
        <v>273</v>
      </c>
      <c r="C152" s="9" t="s">
        <v>274</v>
      </c>
      <c r="D152" s="9" t="s">
        <v>9</v>
      </c>
      <c r="E152" s="9" t="s">
        <v>21</v>
      </c>
      <c r="F152" s="9" t="s">
        <v>262</v>
      </c>
      <c r="G152" s="10">
        <v>5000.0</v>
      </c>
      <c r="H152" s="9" t="s">
        <v>23</v>
      </c>
    </row>
    <row r="153" ht="12.75" customHeight="1">
      <c r="A153" s="9">
        <v>6.6497827E7</v>
      </c>
      <c r="B153" s="9" t="s">
        <v>275</v>
      </c>
      <c r="C153" s="9" t="s">
        <v>276</v>
      </c>
      <c r="D153" s="9" t="s">
        <v>4</v>
      </c>
      <c r="E153" s="9" t="s">
        <v>21</v>
      </c>
      <c r="F153" s="9" t="s">
        <v>262</v>
      </c>
      <c r="G153" s="10">
        <v>6000.0</v>
      </c>
      <c r="H153" s="9" t="s">
        <v>23</v>
      </c>
    </row>
    <row r="154" ht="12.75" customHeight="1">
      <c r="A154" s="9">
        <v>6.6499735E7</v>
      </c>
      <c r="B154" s="9" t="s">
        <v>277</v>
      </c>
      <c r="C154" s="9" t="s">
        <v>278</v>
      </c>
      <c r="D154" s="9" t="s">
        <v>9</v>
      </c>
      <c r="E154" s="9" t="s">
        <v>21</v>
      </c>
      <c r="F154" s="9" t="s">
        <v>279</v>
      </c>
      <c r="G154" s="10">
        <v>15000.0</v>
      </c>
      <c r="H154" s="9" t="s">
        <v>23</v>
      </c>
    </row>
    <row r="155" ht="12.75" customHeight="1">
      <c r="A155" s="9">
        <v>6.6499739E7</v>
      </c>
      <c r="B155" s="9" t="s">
        <v>277</v>
      </c>
      <c r="C155" s="9" t="s">
        <v>280</v>
      </c>
      <c r="D155" s="9" t="s">
        <v>3</v>
      </c>
      <c r="E155" s="9" t="s">
        <v>21</v>
      </c>
      <c r="F155" s="9" t="s">
        <v>279</v>
      </c>
      <c r="G155" s="10">
        <v>10752.0</v>
      </c>
      <c r="H155" s="9" t="s">
        <v>23</v>
      </c>
    </row>
    <row r="156" ht="12.75" customHeight="1">
      <c r="A156" s="9">
        <v>6.6499862E7</v>
      </c>
      <c r="B156" s="9" t="s">
        <v>281</v>
      </c>
      <c r="C156" s="9" t="s">
        <v>282</v>
      </c>
      <c r="D156" s="9" t="s">
        <v>9</v>
      </c>
      <c r="E156" s="9" t="s">
        <v>21</v>
      </c>
      <c r="F156" s="9" t="s">
        <v>279</v>
      </c>
      <c r="G156" s="10">
        <v>15000.0</v>
      </c>
      <c r="H156" s="9" t="s">
        <v>23</v>
      </c>
    </row>
    <row r="157" ht="12.75" customHeight="1">
      <c r="A157" s="9">
        <v>6.6499865E7</v>
      </c>
      <c r="B157" s="9" t="s">
        <v>281</v>
      </c>
      <c r="C157" s="9" t="s">
        <v>283</v>
      </c>
      <c r="D157" s="9" t="s">
        <v>3</v>
      </c>
      <c r="E157" s="9" t="s">
        <v>21</v>
      </c>
      <c r="F157" s="9" t="s">
        <v>279</v>
      </c>
      <c r="G157" s="10">
        <v>10496.0</v>
      </c>
      <c r="H157" s="9" t="s">
        <v>23</v>
      </c>
    </row>
    <row r="158" ht="12.75" customHeight="1">
      <c r="A158" s="9">
        <v>6.6499909E7</v>
      </c>
      <c r="B158" s="9" t="s">
        <v>284</v>
      </c>
      <c r="C158" s="9" t="s">
        <v>285</v>
      </c>
      <c r="D158" s="9" t="s">
        <v>9</v>
      </c>
      <c r="E158" s="9" t="s">
        <v>21</v>
      </c>
      <c r="F158" s="9" t="s">
        <v>279</v>
      </c>
      <c r="G158" s="10">
        <v>35000.0</v>
      </c>
      <c r="H158" s="9" t="s">
        <v>23</v>
      </c>
    </row>
    <row r="159" ht="12.75" customHeight="1">
      <c r="A159" s="9">
        <v>6.649991E7</v>
      </c>
      <c r="B159" s="9" t="s">
        <v>284</v>
      </c>
      <c r="C159" s="9" t="s">
        <v>286</v>
      </c>
      <c r="D159" s="9" t="s">
        <v>7</v>
      </c>
      <c r="E159" s="9" t="s">
        <v>21</v>
      </c>
      <c r="F159" s="9" t="s">
        <v>279</v>
      </c>
      <c r="G159" s="10">
        <v>56000.0</v>
      </c>
      <c r="H159" s="9" t="s">
        <v>23</v>
      </c>
    </row>
    <row r="160" ht="12.75" customHeight="1">
      <c r="A160" s="9">
        <v>6.6499941E7</v>
      </c>
      <c r="B160" s="9" t="s">
        <v>287</v>
      </c>
      <c r="C160" s="9" t="s">
        <v>288</v>
      </c>
      <c r="D160" s="9" t="s">
        <v>9</v>
      </c>
      <c r="E160" s="9" t="s">
        <v>21</v>
      </c>
      <c r="F160" s="9" t="s">
        <v>279</v>
      </c>
      <c r="G160" s="10">
        <v>10000.0</v>
      </c>
      <c r="H160" s="9" t="s">
        <v>23</v>
      </c>
    </row>
    <row r="161" ht="12.75" customHeight="1">
      <c r="A161" s="9">
        <v>6.6499945E7</v>
      </c>
      <c r="B161" s="9" t="s">
        <v>287</v>
      </c>
      <c r="C161" s="9" t="s">
        <v>289</v>
      </c>
      <c r="D161" s="9" t="s">
        <v>3</v>
      </c>
      <c r="E161" s="9" t="s">
        <v>21</v>
      </c>
      <c r="F161" s="9" t="s">
        <v>279</v>
      </c>
      <c r="G161" s="10">
        <v>10752.0</v>
      </c>
      <c r="H161" s="9" t="s">
        <v>23</v>
      </c>
    </row>
    <row r="162" ht="12.75" customHeight="1">
      <c r="A162" s="9">
        <v>6.6500645E7</v>
      </c>
      <c r="B162" s="9" t="s">
        <v>45</v>
      </c>
      <c r="C162" s="9" t="s">
        <v>290</v>
      </c>
      <c r="D162" s="9" t="s">
        <v>9</v>
      </c>
      <c r="E162" s="9" t="s">
        <v>21</v>
      </c>
      <c r="F162" s="9" t="s">
        <v>291</v>
      </c>
      <c r="G162" s="10">
        <v>5000.0</v>
      </c>
      <c r="H162" s="9" t="s">
        <v>23</v>
      </c>
    </row>
    <row r="163" ht="12.75" customHeight="1">
      <c r="A163" s="9">
        <v>6.6500662E7</v>
      </c>
      <c r="B163" s="9" t="s">
        <v>45</v>
      </c>
      <c r="C163" s="9" t="s">
        <v>292</v>
      </c>
      <c r="D163" s="9" t="s">
        <v>3</v>
      </c>
      <c r="E163" s="9" t="s">
        <v>21</v>
      </c>
      <c r="F163" s="9" t="s">
        <v>291</v>
      </c>
      <c r="G163" s="10">
        <v>3431.0</v>
      </c>
      <c r="H163" s="9" t="s">
        <v>23</v>
      </c>
    </row>
    <row r="164" ht="12.75" customHeight="1">
      <c r="A164" s="9">
        <v>6.6500682E7</v>
      </c>
      <c r="B164" s="9" t="s">
        <v>293</v>
      </c>
      <c r="C164" s="9" t="s">
        <v>294</v>
      </c>
      <c r="D164" s="9" t="s">
        <v>9</v>
      </c>
      <c r="E164" s="9" t="s">
        <v>21</v>
      </c>
      <c r="F164" s="9" t="s">
        <v>291</v>
      </c>
      <c r="G164" s="10">
        <v>10000.0</v>
      </c>
      <c r="H164" s="9" t="s">
        <v>23</v>
      </c>
    </row>
    <row r="165" ht="12.75" customHeight="1">
      <c r="A165" s="9">
        <v>6.6500683E7</v>
      </c>
      <c r="B165" s="9" t="s">
        <v>293</v>
      </c>
      <c r="C165" s="9" t="s">
        <v>295</v>
      </c>
      <c r="D165" s="9" t="s">
        <v>8</v>
      </c>
      <c r="E165" s="9" t="s">
        <v>21</v>
      </c>
      <c r="F165" s="9" t="s">
        <v>291</v>
      </c>
      <c r="G165" s="10">
        <v>63000.0</v>
      </c>
      <c r="H165" s="9" t="s">
        <v>23</v>
      </c>
    </row>
    <row r="166" ht="12.75" customHeight="1">
      <c r="A166" s="9">
        <v>6.6500734E7</v>
      </c>
      <c r="B166" s="9" t="s">
        <v>296</v>
      </c>
      <c r="C166" s="9" t="s">
        <v>297</v>
      </c>
      <c r="D166" s="9" t="s">
        <v>9</v>
      </c>
      <c r="E166" s="9" t="s">
        <v>21</v>
      </c>
      <c r="F166" s="9" t="s">
        <v>291</v>
      </c>
      <c r="G166" s="10">
        <v>5000.0</v>
      </c>
      <c r="H166" s="9" t="s">
        <v>23</v>
      </c>
    </row>
    <row r="167" ht="12.75" customHeight="1">
      <c r="A167" s="9">
        <v>6.6500744E7</v>
      </c>
      <c r="B167" s="9" t="s">
        <v>296</v>
      </c>
      <c r="C167" s="9" t="s">
        <v>298</v>
      </c>
      <c r="D167" s="9" t="s">
        <v>3</v>
      </c>
      <c r="E167" s="9" t="s">
        <v>21</v>
      </c>
      <c r="F167" s="9" t="s">
        <v>291</v>
      </c>
      <c r="G167" s="10">
        <v>13600.0</v>
      </c>
      <c r="H167" s="9" t="s">
        <v>23</v>
      </c>
    </row>
    <row r="168" ht="12.75" customHeight="1">
      <c r="A168" s="9">
        <v>6.6501653E7</v>
      </c>
      <c r="B168" s="9" t="s">
        <v>299</v>
      </c>
      <c r="C168" s="9" t="s">
        <v>300</v>
      </c>
      <c r="D168" s="9" t="s">
        <v>9</v>
      </c>
      <c r="E168" s="9" t="s">
        <v>21</v>
      </c>
      <c r="F168" s="9" t="s">
        <v>301</v>
      </c>
      <c r="G168" s="10">
        <v>5000.0</v>
      </c>
      <c r="H168" s="9" t="s">
        <v>23</v>
      </c>
    </row>
    <row r="169" ht="12.75" customHeight="1">
      <c r="A169" s="9">
        <v>6.6501657E7</v>
      </c>
      <c r="B169" s="9" t="s">
        <v>302</v>
      </c>
      <c r="C169" s="9" t="s">
        <v>303</v>
      </c>
      <c r="D169" s="9" t="s">
        <v>9</v>
      </c>
      <c r="E169" s="9" t="s">
        <v>21</v>
      </c>
      <c r="F169" s="9" t="s">
        <v>301</v>
      </c>
      <c r="G169" s="10">
        <v>5000.0</v>
      </c>
      <c r="H169" s="9" t="s">
        <v>23</v>
      </c>
    </row>
    <row r="170" ht="12.75" customHeight="1">
      <c r="A170" s="9">
        <v>6.6501658E7</v>
      </c>
      <c r="B170" s="9" t="s">
        <v>304</v>
      </c>
      <c r="C170" s="9" t="s">
        <v>305</v>
      </c>
      <c r="D170" s="9" t="s">
        <v>4</v>
      </c>
      <c r="E170" s="9" t="s">
        <v>21</v>
      </c>
      <c r="F170" s="9" t="s">
        <v>301</v>
      </c>
      <c r="G170" s="10">
        <v>4000.0</v>
      </c>
      <c r="H170" s="9" t="s">
        <v>23</v>
      </c>
    </row>
    <row r="171" ht="12.75" customHeight="1">
      <c r="A171" s="9">
        <v>6.6502019E7</v>
      </c>
      <c r="B171" s="9" t="s">
        <v>299</v>
      </c>
      <c r="C171" s="9" t="s">
        <v>306</v>
      </c>
      <c r="D171" s="9" t="s">
        <v>9</v>
      </c>
      <c r="E171" s="9" t="s">
        <v>21</v>
      </c>
      <c r="F171" s="9" t="s">
        <v>301</v>
      </c>
      <c r="G171" s="10">
        <v>5000.0</v>
      </c>
      <c r="H171" s="9" t="s">
        <v>23</v>
      </c>
    </row>
    <row r="172" ht="12.75" customHeight="1">
      <c r="A172" s="9">
        <v>6.6502025E7</v>
      </c>
      <c r="B172" s="9" t="s">
        <v>299</v>
      </c>
      <c r="C172" s="9" t="s">
        <v>307</v>
      </c>
      <c r="D172" s="9" t="s">
        <v>3</v>
      </c>
      <c r="E172" s="9" t="s">
        <v>21</v>
      </c>
      <c r="F172" s="9" t="s">
        <v>301</v>
      </c>
      <c r="G172" s="10">
        <v>1448.0</v>
      </c>
      <c r="H172" s="9" t="s">
        <v>23</v>
      </c>
    </row>
    <row r="173" ht="12.75" customHeight="1">
      <c r="A173" s="9">
        <v>6.6502802E7</v>
      </c>
      <c r="B173" s="9" t="s">
        <v>308</v>
      </c>
      <c r="C173" s="9" t="s">
        <v>309</v>
      </c>
      <c r="D173" s="9" t="s">
        <v>9</v>
      </c>
      <c r="E173" s="9" t="s">
        <v>21</v>
      </c>
      <c r="F173" s="9" t="s">
        <v>310</v>
      </c>
      <c r="G173" s="10">
        <v>10000.0</v>
      </c>
      <c r="H173" s="9" t="s">
        <v>23</v>
      </c>
    </row>
    <row r="174" ht="12.75" customHeight="1">
      <c r="A174" s="9">
        <v>6.6502807E7</v>
      </c>
      <c r="B174" s="9" t="s">
        <v>308</v>
      </c>
      <c r="C174" s="9" t="s">
        <v>311</v>
      </c>
      <c r="D174" s="9" t="s">
        <v>8</v>
      </c>
      <c r="E174" s="9" t="s">
        <v>21</v>
      </c>
      <c r="F174" s="9" t="s">
        <v>310</v>
      </c>
      <c r="G174" s="10">
        <v>64000.0</v>
      </c>
      <c r="H174" s="9" t="s">
        <v>23</v>
      </c>
    </row>
    <row r="175" ht="12.75" customHeight="1">
      <c r="A175" s="9">
        <v>6.6503035E7</v>
      </c>
      <c r="B175" s="9" t="s">
        <v>312</v>
      </c>
      <c r="C175" s="9" t="s">
        <v>313</v>
      </c>
      <c r="D175" s="9" t="s">
        <v>9</v>
      </c>
      <c r="E175" s="9" t="s">
        <v>21</v>
      </c>
      <c r="F175" s="9" t="s">
        <v>310</v>
      </c>
      <c r="G175" s="10">
        <v>5000.0</v>
      </c>
      <c r="H175" s="9" t="s">
        <v>23</v>
      </c>
    </row>
    <row r="176" ht="12.75" customHeight="1">
      <c r="A176" s="9">
        <v>6.6503049E7</v>
      </c>
      <c r="B176" s="9" t="s">
        <v>312</v>
      </c>
      <c r="C176" s="9" t="s">
        <v>314</v>
      </c>
      <c r="D176" s="9" t="s">
        <v>8</v>
      </c>
      <c r="E176" s="9" t="s">
        <v>21</v>
      </c>
      <c r="F176" s="9" t="s">
        <v>310</v>
      </c>
      <c r="G176" s="10">
        <v>62080.0</v>
      </c>
      <c r="H176" s="9" t="s">
        <v>23</v>
      </c>
    </row>
    <row r="177" ht="12.75" customHeight="1">
      <c r="A177" s="9">
        <v>6.6503052E7</v>
      </c>
      <c r="B177" s="9" t="s">
        <v>315</v>
      </c>
      <c r="C177" s="9" t="s">
        <v>316</v>
      </c>
      <c r="D177" s="9" t="s">
        <v>9</v>
      </c>
      <c r="E177" s="9" t="s">
        <v>21</v>
      </c>
      <c r="F177" s="9" t="s">
        <v>310</v>
      </c>
      <c r="G177" s="10">
        <v>10000.0</v>
      </c>
      <c r="H177" s="9" t="s">
        <v>23</v>
      </c>
    </row>
    <row r="178" ht="12.75" customHeight="1">
      <c r="A178" s="9">
        <v>6.6503108E7</v>
      </c>
      <c r="B178" s="9" t="s">
        <v>259</v>
      </c>
      <c r="C178" s="9" t="s">
        <v>317</v>
      </c>
      <c r="D178" s="9" t="s">
        <v>9</v>
      </c>
      <c r="E178" s="9" t="s">
        <v>21</v>
      </c>
      <c r="F178" s="9" t="s">
        <v>310</v>
      </c>
      <c r="G178" s="10">
        <v>5000.0</v>
      </c>
      <c r="H178" s="9" t="s">
        <v>23</v>
      </c>
    </row>
    <row r="179" ht="12.75" customHeight="1">
      <c r="A179" s="9">
        <v>6.6503113E7</v>
      </c>
      <c r="B179" s="9" t="s">
        <v>318</v>
      </c>
      <c r="C179" s="9" t="s">
        <v>319</v>
      </c>
      <c r="D179" s="9" t="s">
        <v>7</v>
      </c>
      <c r="E179" s="9" t="s">
        <v>21</v>
      </c>
      <c r="F179" s="9" t="s">
        <v>310</v>
      </c>
      <c r="G179" s="10">
        <v>1000.0</v>
      </c>
      <c r="H179" s="9" t="s">
        <v>23</v>
      </c>
    </row>
    <row r="180" ht="12.75" customHeight="1">
      <c r="A180" s="9">
        <v>6.6503131E7</v>
      </c>
      <c r="B180" s="9" t="s">
        <v>320</v>
      </c>
      <c r="C180" s="9" t="s">
        <v>321</v>
      </c>
      <c r="D180" s="9" t="s">
        <v>7</v>
      </c>
      <c r="E180" s="9" t="s">
        <v>21</v>
      </c>
      <c r="F180" s="9" t="s">
        <v>310</v>
      </c>
      <c r="G180" s="10">
        <v>30000.0</v>
      </c>
      <c r="H180" s="9" t="s">
        <v>23</v>
      </c>
    </row>
    <row r="181" ht="12.75" customHeight="1">
      <c r="A181" s="9">
        <v>6.6504119E7</v>
      </c>
      <c r="B181" s="9" t="s">
        <v>322</v>
      </c>
      <c r="C181" s="9" t="s">
        <v>323</v>
      </c>
      <c r="D181" s="9" t="s">
        <v>9</v>
      </c>
      <c r="E181" s="9" t="s">
        <v>21</v>
      </c>
      <c r="F181" s="9" t="s">
        <v>324</v>
      </c>
      <c r="G181" s="10">
        <v>5000.0</v>
      </c>
      <c r="H181" s="9" t="s">
        <v>23</v>
      </c>
    </row>
    <row r="182" ht="12.75" customHeight="1">
      <c r="A182" s="9">
        <v>6.6504128E7</v>
      </c>
      <c r="B182" s="9" t="s">
        <v>322</v>
      </c>
      <c r="C182" s="9" t="s">
        <v>325</v>
      </c>
      <c r="D182" s="9" t="s">
        <v>4</v>
      </c>
      <c r="E182" s="9" t="s">
        <v>21</v>
      </c>
      <c r="F182" s="9" t="s">
        <v>324</v>
      </c>
      <c r="G182" s="10">
        <v>1600.0</v>
      </c>
      <c r="H182" s="9" t="s">
        <v>23</v>
      </c>
    </row>
    <row r="183" ht="12.75" customHeight="1">
      <c r="A183" s="9">
        <v>6.6504513E7</v>
      </c>
      <c r="B183" s="9" t="s">
        <v>326</v>
      </c>
      <c r="C183" s="9" t="s">
        <v>327</v>
      </c>
      <c r="D183" s="9" t="s">
        <v>9</v>
      </c>
      <c r="E183" s="9" t="s">
        <v>21</v>
      </c>
      <c r="F183" s="9" t="s">
        <v>324</v>
      </c>
      <c r="G183" s="10">
        <v>5000.0</v>
      </c>
      <c r="H183" s="9" t="s">
        <v>23</v>
      </c>
    </row>
    <row r="184" ht="12.75" customHeight="1">
      <c r="A184" s="9">
        <v>6.650452E7</v>
      </c>
      <c r="B184" s="9" t="s">
        <v>326</v>
      </c>
      <c r="C184" s="9" t="s">
        <v>328</v>
      </c>
      <c r="D184" s="9" t="s">
        <v>7</v>
      </c>
      <c r="E184" s="9" t="s">
        <v>21</v>
      </c>
      <c r="F184" s="9" t="s">
        <v>324</v>
      </c>
      <c r="G184" s="10">
        <v>28000.0</v>
      </c>
      <c r="H184" s="9" t="s">
        <v>23</v>
      </c>
    </row>
    <row r="185" ht="12.75" customHeight="1">
      <c r="A185" s="9">
        <v>6.6505534E7</v>
      </c>
      <c r="B185" s="9" t="s">
        <v>45</v>
      </c>
      <c r="C185" s="9" t="s">
        <v>329</v>
      </c>
      <c r="D185" s="9" t="s">
        <v>9</v>
      </c>
      <c r="E185" s="9" t="s">
        <v>21</v>
      </c>
      <c r="F185" s="9" t="s">
        <v>330</v>
      </c>
      <c r="G185" s="10">
        <v>5000.0</v>
      </c>
      <c r="H185" s="9" t="s">
        <v>23</v>
      </c>
    </row>
    <row r="186" ht="12.75" customHeight="1">
      <c r="A186" s="9">
        <v>6.6505539E7</v>
      </c>
      <c r="B186" s="9" t="s">
        <v>45</v>
      </c>
      <c r="C186" s="9" t="s">
        <v>331</v>
      </c>
      <c r="D186" s="9" t="s">
        <v>3</v>
      </c>
      <c r="E186" s="9" t="s">
        <v>21</v>
      </c>
      <c r="F186" s="9" t="s">
        <v>330</v>
      </c>
      <c r="G186" s="10">
        <v>2518.0</v>
      </c>
      <c r="H186" s="9" t="s">
        <v>23</v>
      </c>
    </row>
    <row r="187" ht="12.75" customHeight="1">
      <c r="A187" s="9">
        <v>6.6505573E7</v>
      </c>
      <c r="B187" s="9" t="s">
        <v>332</v>
      </c>
      <c r="C187" s="9" t="s">
        <v>333</v>
      </c>
      <c r="D187" s="9" t="s">
        <v>9</v>
      </c>
      <c r="E187" s="9" t="s">
        <v>21</v>
      </c>
      <c r="F187" s="9" t="s">
        <v>330</v>
      </c>
      <c r="G187" s="10">
        <v>5000.0</v>
      </c>
      <c r="H187" s="9" t="s">
        <v>23</v>
      </c>
    </row>
    <row r="188" ht="12.75" customHeight="1">
      <c r="A188" s="9">
        <v>6.6505576E7</v>
      </c>
      <c r="B188" s="9" t="s">
        <v>332</v>
      </c>
      <c r="C188" s="9" t="s">
        <v>334</v>
      </c>
      <c r="D188" s="9" t="s">
        <v>3</v>
      </c>
      <c r="E188" s="9" t="s">
        <v>21</v>
      </c>
      <c r="F188" s="9" t="s">
        <v>330</v>
      </c>
      <c r="G188" s="10">
        <v>5100.0</v>
      </c>
      <c r="H188" s="9" t="s">
        <v>23</v>
      </c>
    </row>
    <row r="189" ht="12.75" customHeight="1">
      <c r="A189" s="9">
        <v>6.6505833E7</v>
      </c>
      <c r="B189" s="9" t="s">
        <v>229</v>
      </c>
      <c r="C189" s="9" t="s">
        <v>335</v>
      </c>
      <c r="D189" s="9" t="s">
        <v>10</v>
      </c>
      <c r="E189" s="9" t="s">
        <v>21</v>
      </c>
      <c r="F189" s="9" t="s">
        <v>330</v>
      </c>
      <c r="G189" s="10">
        <v>210000.0</v>
      </c>
      <c r="H189" s="9" t="s">
        <v>23</v>
      </c>
    </row>
    <row r="190" ht="12.75" customHeight="1">
      <c r="A190" s="9">
        <v>6.6505838E7</v>
      </c>
      <c r="B190" s="9" t="s">
        <v>229</v>
      </c>
      <c r="C190" s="9" t="s">
        <v>336</v>
      </c>
      <c r="D190" s="9" t="s">
        <v>2</v>
      </c>
      <c r="E190" s="9" t="s">
        <v>21</v>
      </c>
      <c r="F190" s="9" t="s">
        <v>330</v>
      </c>
      <c r="G190" s="10">
        <v>56000.0</v>
      </c>
      <c r="H190" s="9" t="s">
        <v>23</v>
      </c>
    </row>
    <row r="191" ht="12.75" customHeight="1">
      <c r="A191" s="9">
        <v>6.6506683E7</v>
      </c>
      <c r="B191" s="9" t="s">
        <v>337</v>
      </c>
      <c r="C191" s="9" t="s">
        <v>338</v>
      </c>
      <c r="D191" s="9" t="s">
        <v>9</v>
      </c>
      <c r="E191" s="9" t="s">
        <v>21</v>
      </c>
      <c r="F191" s="9" t="s">
        <v>339</v>
      </c>
      <c r="G191" s="10">
        <v>5000.0</v>
      </c>
      <c r="H191" s="9" t="s">
        <v>23</v>
      </c>
    </row>
    <row r="192" ht="12.75" customHeight="1">
      <c r="A192" s="9">
        <v>6.6506693E7</v>
      </c>
      <c r="B192" s="9" t="s">
        <v>340</v>
      </c>
      <c r="C192" s="9" t="s">
        <v>341</v>
      </c>
      <c r="D192" s="9" t="s">
        <v>7</v>
      </c>
      <c r="E192" s="9" t="s">
        <v>21</v>
      </c>
      <c r="F192" s="9" t="s">
        <v>339</v>
      </c>
      <c r="G192" s="10">
        <v>1200.0</v>
      </c>
      <c r="H192" s="9" t="s">
        <v>23</v>
      </c>
    </row>
    <row r="193" ht="12.75" customHeight="1">
      <c r="A193" s="9">
        <v>6.6506723E7</v>
      </c>
      <c r="B193" s="9" t="s">
        <v>342</v>
      </c>
      <c r="C193" s="9" t="s">
        <v>343</v>
      </c>
      <c r="D193" s="9" t="s">
        <v>9</v>
      </c>
      <c r="E193" s="9" t="s">
        <v>21</v>
      </c>
      <c r="F193" s="9" t="s">
        <v>339</v>
      </c>
      <c r="G193" s="10">
        <v>5000.0</v>
      </c>
      <c r="H193" s="9" t="s">
        <v>23</v>
      </c>
    </row>
    <row r="194" ht="12.75" customHeight="1">
      <c r="A194" s="9">
        <v>6.6507193E7</v>
      </c>
      <c r="B194" s="9" t="s">
        <v>344</v>
      </c>
      <c r="C194" s="9" t="s">
        <v>345</v>
      </c>
      <c r="D194" s="9" t="s">
        <v>9</v>
      </c>
      <c r="E194" s="9" t="s">
        <v>21</v>
      </c>
      <c r="F194" s="9" t="s">
        <v>339</v>
      </c>
      <c r="G194" s="10">
        <v>10000.0</v>
      </c>
      <c r="H194" s="9" t="s">
        <v>23</v>
      </c>
    </row>
    <row r="195" ht="12.75" customHeight="1">
      <c r="A195" s="9">
        <v>6.6507207E7</v>
      </c>
      <c r="B195" s="9" t="s">
        <v>344</v>
      </c>
      <c r="C195" s="9" t="s">
        <v>346</v>
      </c>
      <c r="D195" s="9" t="s">
        <v>7</v>
      </c>
      <c r="E195" s="9" t="s">
        <v>21</v>
      </c>
      <c r="F195" s="9" t="s">
        <v>339</v>
      </c>
      <c r="G195" s="10">
        <v>12000.0</v>
      </c>
      <c r="H195" s="9" t="s">
        <v>23</v>
      </c>
    </row>
    <row r="196" ht="12.75" customHeight="1">
      <c r="A196" s="9">
        <v>6.6507212E7</v>
      </c>
      <c r="B196" s="9" t="s">
        <v>344</v>
      </c>
      <c r="C196" s="9" t="s">
        <v>347</v>
      </c>
      <c r="D196" s="9" t="s">
        <v>7</v>
      </c>
      <c r="E196" s="9" t="s">
        <v>21</v>
      </c>
      <c r="F196" s="9" t="s">
        <v>339</v>
      </c>
      <c r="G196" s="10">
        <v>24000.0</v>
      </c>
      <c r="H196" s="9" t="s">
        <v>23</v>
      </c>
    </row>
    <row r="197" ht="12.75" customHeight="1">
      <c r="A197" s="9">
        <v>6.6508626E7</v>
      </c>
      <c r="B197" s="9" t="s">
        <v>201</v>
      </c>
      <c r="C197" s="9" t="s">
        <v>348</v>
      </c>
      <c r="D197" s="9" t="s">
        <v>9</v>
      </c>
      <c r="E197" s="9" t="s">
        <v>21</v>
      </c>
      <c r="F197" s="9" t="s">
        <v>349</v>
      </c>
      <c r="G197" s="10">
        <v>5000.0</v>
      </c>
      <c r="H197" s="9" t="s">
        <v>23</v>
      </c>
    </row>
    <row r="198" ht="12.75" customHeight="1">
      <c r="A198" s="9">
        <v>6.650863E7</v>
      </c>
      <c r="B198" s="9" t="s">
        <v>201</v>
      </c>
      <c r="C198" s="9" t="s">
        <v>350</v>
      </c>
      <c r="D198" s="9" t="s">
        <v>4</v>
      </c>
      <c r="E198" s="9" t="s">
        <v>21</v>
      </c>
      <c r="F198" s="9" t="s">
        <v>349</v>
      </c>
      <c r="G198" s="10">
        <v>14000.0</v>
      </c>
      <c r="H198" s="9" t="s">
        <v>23</v>
      </c>
    </row>
    <row r="199" ht="12.75" customHeight="1">
      <c r="A199" s="9">
        <v>6.6508787E7</v>
      </c>
      <c r="B199" s="9" t="s">
        <v>201</v>
      </c>
      <c r="C199" s="9" t="s">
        <v>351</v>
      </c>
      <c r="D199" s="9" t="s">
        <v>9</v>
      </c>
      <c r="E199" s="9" t="s">
        <v>21</v>
      </c>
      <c r="F199" s="9" t="s">
        <v>349</v>
      </c>
      <c r="G199" s="10">
        <v>5000.0</v>
      </c>
      <c r="H199" s="9" t="s">
        <v>23</v>
      </c>
    </row>
    <row r="200" ht="12.75" customHeight="1">
      <c r="A200" s="9">
        <v>6.6508789E7</v>
      </c>
      <c r="B200" s="9" t="s">
        <v>201</v>
      </c>
      <c r="C200" s="9" t="s">
        <v>352</v>
      </c>
      <c r="D200" s="9" t="s">
        <v>4</v>
      </c>
      <c r="E200" s="9" t="s">
        <v>21</v>
      </c>
      <c r="F200" s="9" t="s">
        <v>349</v>
      </c>
      <c r="G200" s="10">
        <v>14000.0</v>
      </c>
      <c r="H200" s="9" t="s">
        <v>23</v>
      </c>
    </row>
    <row r="201" ht="12.75" customHeight="1">
      <c r="A201" s="9">
        <v>6.6509009E7</v>
      </c>
      <c r="B201" s="9" t="s">
        <v>201</v>
      </c>
      <c r="C201" s="9" t="s">
        <v>353</v>
      </c>
      <c r="D201" s="9" t="s">
        <v>9</v>
      </c>
      <c r="E201" s="9" t="s">
        <v>21</v>
      </c>
      <c r="F201" s="9" t="s">
        <v>349</v>
      </c>
      <c r="G201" s="10">
        <v>5000.0</v>
      </c>
      <c r="H201" s="9" t="s">
        <v>23</v>
      </c>
    </row>
    <row r="202" ht="12.75" customHeight="1">
      <c r="A202" s="9">
        <v>6.6509013E7</v>
      </c>
      <c r="B202" s="9" t="s">
        <v>201</v>
      </c>
      <c r="C202" s="9" t="s">
        <v>354</v>
      </c>
      <c r="D202" s="9" t="s">
        <v>4</v>
      </c>
      <c r="E202" s="9" t="s">
        <v>21</v>
      </c>
      <c r="F202" s="9" t="s">
        <v>349</v>
      </c>
      <c r="G202" s="10">
        <v>14000.0</v>
      </c>
      <c r="H202" s="9" t="s">
        <v>23</v>
      </c>
    </row>
    <row r="203" ht="12.75" customHeight="1">
      <c r="A203" s="9">
        <v>6.6509438E7</v>
      </c>
      <c r="B203" s="9" t="s">
        <v>205</v>
      </c>
      <c r="C203" s="9" t="s">
        <v>355</v>
      </c>
      <c r="D203" s="9" t="s">
        <v>9</v>
      </c>
      <c r="E203" s="9" t="s">
        <v>21</v>
      </c>
      <c r="F203" s="9" t="s">
        <v>356</v>
      </c>
      <c r="G203" s="10">
        <v>5000.0</v>
      </c>
      <c r="H203" s="9" t="s">
        <v>23</v>
      </c>
    </row>
    <row r="204" ht="12.75" customHeight="1">
      <c r="A204" s="9">
        <v>6.6509442E7</v>
      </c>
      <c r="B204" s="9" t="s">
        <v>205</v>
      </c>
      <c r="C204" s="9" t="s">
        <v>357</v>
      </c>
      <c r="D204" s="9" t="s">
        <v>4</v>
      </c>
      <c r="E204" s="9" t="s">
        <v>21</v>
      </c>
      <c r="F204" s="9" t="s">
        <v>356</v>
      </c>
      <c r="G204" s="10">
        <v>14000.0</v>
      </c>
      <c r="H204" s="9" t="s">
        <v>23</v>
      </c>
    </row>
    <row r="205" ht="12.75" customHeight="1">
      <c r="A205" s="9">
        <v>6.6509458E7</v>
      </c>
      <c r="B205" s="9" t="s">
        <v>211</v>
      </c>
      <c r="C205" s="9" t="s">
        <v>358</v>
      </c>
      <c r="D205" s="9" t="s">
        <v>9</v>
      </c>
      <c r="E205" s="9" t="s">
        <v>21</v>
      </c>
      <c r="F205" s="9" t="s">
        <v>356</v>
      </c>
      <c r="G205" s="10">
        <v>5000.0</v>
      </c>
      <c r="H205" s="9" t="s">
        <v>23</v>
      </c>
    </row>
    <row r="206" ht="12.75" customHeight="1">
      <c r="A206" s="9">
        <v>6.6509465E7</v>
      </c>
      <c r="B206" s="9" t="s">
        <v>211</v>
      </c>
      <c r="C206" s="9" t="s">
        <v>359</v>
      </c>
      <c r="D206" s="9" t="s">
        <v>4</v>
      </c>
      <c r="E206" s="9" t="s">
        <v>21</v>
      </c>
      <c r="F206" s="9" t="s">
        <v>356</v>
      </c>
      <c r="G206" s="10">
        <v>7000.0</v>
      </c>
      <c r="H206" s="9" t="s">
        <v>23</v>
      </c>
    </row>
    <row r="207" ht="12.75" customHeight="1">
      <c r="A207" s="9">
        <v>6.6509678E7</v>
      </c>
      <c r="B207" s="9" t="s">
        <v>360</v>
      </c>
      <c r="C207" s="9" t="s">
        <v>361</v>
      </c>
      <c r="D207" s="9" t="s">
        <v>9</v>
      </c>
      <c r="E207" s="9" t="s">
        <v>21</v>
      </c>
      <c r="F207" s="9" t="s">
        <v>356</v>
      </c>
      <c r="G207" s="10">
        <v>5000.0</v>
      </c>
      <c r="H207" s="9" t="s">
        <v>23</v>
      </c>
    </row>
    <row r="208" ht="12.75" customHeight="1">
      <c r="A208" s="9">
        <v>6.650968E7</v>
      </c>
      <c r="B208" s="9" t="s">
        <v>275</v>
      </c>
      <c r="C208" s="9" t="s">
        <v>362</v>
      </c>
      <c r="D208" s="9" t="s">
        <v>4</v>
      </c>
      <c r="E208" s="9" t="s">
        <v>21</v>
      </c>
      <c r="F208" s="9" t="s">
        <v>356</v>
      </c>
      <c r="G208" s="10">
        <v>14000.0</v>
      </c>
      <c r="H208" s="9" t="s">
        <v>23</v>
      </c>
    </row>
    <row r="209" ht="12.75" customHeight="1">
      <c r="A209" s="9">
        <v>6.6509713E7</v>
      </c>
      <c r="B209" s="9" t="s">
        <v>273</v>
      </c>
      <c r="C209" s="9" t="s">
        <v>363</v>
      </c>
      <c r="D209" s="9" t="s">
        <v>9</v>
      </c>
      <c r="E209" s="9" t="s">
        <v>21</v>
      </c>
      <c r="F209" s="9" t="s">
        <v>356</v>
      </c>
      <c r="G209" s="10">
        <v>5000.0</v>
      </c>
      <c r="H209" s="9" t="s">
        <v>23</v>
      </c>
    </row>
    <row r="210" ht="12.75" customHeight="1">
      <c r="A210" s="9">
        <v>6.6509721E7</v>
      </c>
      <c r="B210" s="9" t="s">
        <v>275</v>
      </c>
      <c r="C210" s="9" t="s">
        <v>364</v>
      </c>
      <c r="D210" s="9" t="s">
        <v>4</v>
      </c>
      <c r="E210" s="9" t="s">
        <v>21</v>
      </c>
      <c r="F210" s="9" t="s">
        <v>356</v>
      </c>
      <c r="G210" s="10">
        <v>6000.0</v>
      </c>
      <c r="H210" s="9" t="s">
        <v>23</v>
      </c>
    </row>
    <row r="211" ht="12.75" customHeight="1">
      <c r="A211" s="9">
        <v>6.6509749E7</v>
      </c>
      <c r="B211" s="9" t="s">
        <v>365</v>
      </c>
      <c r="C211" s="9" t="s">
        <v>366</v>
      </c>
      <c r="D211" s="9" t="s">
        <v>10</v>
      </c>
      <c r="E211" s="9" t="s">
        <v>21</v>
      </c>
      <c r="F211" s="9" t="s">
        <v>356</v>
      </c>
      <c r="G211" s="10">
        <v>210000.0</v>
      </c>
      <c r="H211" s="9" t="s">
        <v>23</v>
      </c>
    </row>
    <row r="212" ht="12.75" customHeight="1">
      <c r="A212" s="9">
        <v>6.6509752E7</v>
      </c>
      <c r="B212" s="9" t="s">
        <v>365</v>
      </c>
      <c r="C212" s="9" t="s">
        <v>367</v>
      </c>
      <c r="D212" s="9" t="s">
        <v>2</v>
      </c>
      <c r="E212" s="9" t="s">
        <v>21</v>
      </c>
      <c r="F212" s="9" t="s">
        <v>356</v>
      </c>
      <c r="G212" s="10">
        <v>336000.0</v>
      </c>
      <c r="H212" s="9" t="s">
        <v>23</v>
      </c>
    </row>
    <row r="213" ht="12.75" customHeight="1">
      <c r="A213" s="9">
        <v>6.6509784E7</v>
      </c>
      <c r="B213" s="9" t="s">
        <v>368</v>
      </c>
      <c r="C213" s="9" t="s">
        <v>369</v>
      </c>
      <c r="D213" s="9" t="s">
        <v>9</v>
      </c>
      <c r="E213" s="9" t="s">
        <v>21</v>
      </c>
      <c r="F213" s="9" t="s">
        <v>356</v>
      </c>
      <c r="G213" s="10">
        <v>5000.0</v>
      </c>
      <c r="H213" s="9" t="s">
        <v>23</v>
      </c>
    </row>
    <row r="214" ht="12.75" customHeight="1">
      <c r="A214" s="9">
        <v>6.6509792E7</v>
      </c>
      <c r="B214" s="9" t="s">
        <v>73</v>
      </c>
      <c r="C214" s="9" t="s">
        <v>370</v>
      </c>
      <c r="D214" s="9" t="s">
        <v>3</v>
      </c>
      <c r="E214" s="9" t="s">
        <v>21</v>
      </c>
      <c r="F214" s="9" t="s">
        <v>356</v>
      </c>
      <c r="G214" s="10">
        <v>7200.0</v>
      </c>
      <c r="H214" s="9" t="s">
        <v>23</v>
      </c>
    </row>
    <row r="215" ht="12.75" customHeight="1">
      <c r="A215" s="9">
        <v>6.6510023E7</v>
      </c>
      <c r="B215" s="9" t="s">
        <v>371</v>
      </c>
      <c r="C215" s="9" t="s">
        <v>372</v>
      </c>
      <c r="D215" s="9" t="s">
        <v>9</v>
      </c>
      <c r="E215" s="9" t="s">
        <v>21</v>
      </c>
      <c r="F215" s="9" t="s">
        <v>356</v>
      </c>
      <c r="G215" s="10">
        <v>30000.0</v>
      </c>
      <c r="H215" s="9" t="s">
        <v>23</v>
      </c>
    </row>
    <row r="216" ht="12.75" customHeight="1">
      <c r="A216" s="9">
        <v>6.6510077E7</v>
      </c>
      <c r="B216" s="9" t="s">
        <v>373</v>
      </c>
      <c r="C216" s="9" t="s">
        <v>374</v>
      </c>
      <c r="D216" s="9" t="s">
        <v>9</v>
      </c>
      <c r="E216" s="9" t="s">
        <v>21</v>
      </c>
      <c r="F216" s="9" t="s">
        <v>356</v>
      </c>
      <c r="G216" s="10">
        <v>35000.0</v>
      </c>
      <c r="H216" s="9" t="s">
        <v>23</v>
      </c>
    </row>
    <row r="217" ht="12.75" customHeight="1">
      <c r="A217" s="9">
        <v>6.6510082E7</v>
      </c>
      <c r="B217" s="9" t="s">
        <v>375</v>
      </c>
      <c r="C217" s="9" t="s">
        <v>376</v>
      </c>
      <c r="D217" s="9" t="s">
        <v>7</v>
      </c>
      <c r="E217" s="9" t="s">
        <v>21</v>
      </c>
      <c r="F217" s="9" t="s">
        <v>356</v>
      </c>
      <c r="G217" s="10">
        <v>33600.0</v>
      </c>
      <c r="H217" s="9" t="s">
        <v>23</v>
      </c>
    </row>
    <row r="218" ht="12.75" customHeight="1">
      <c r="A218" s="9">
        <v>6.6510197E7</v>
      </c>
      <c r="B218" s="9" t="s">
        <v>377</v>
      </c>
      <c r="C218" s="9" t="s">
        <v>378</v>
      </c>
      <c r="D218" s="9" t="s">
        <v>9</v>
      </c>
      <c r="E218" s="9" t="s">
        <v>21</v>
      </c>
      <c r="F218" s="9" t="s">
        <v>356</v>
      </c>
      <c r="G218" s="10">
        <v>5000.0</v>
      </c>
      <c r="H218" s="9" t="s">
        <v>23</v>
      </c>
    </row>
    <row r="219" ht="12.75" customHeight="1">
      <c r="A219" s="9">
        <v>6.6510203E7</v>
      </c>
      <c r="B219" s="9" t="s">
        <v>379</v>
      </c>
      <c r="C219" s="9" t="s">
        <v>380</v>
      </c>
      <c r="D219" s="9" t="s">
        <v>4</v>
      </c>
      <c r="E219" s="9" t="s">
        <v>21</v>
      </c>
      <c r="F219" s="9" t="s">
        <v>356</v>
      </c>
      <c r="G219" s="10">
        <v>14000.0</v>
      </c>
      <c r="H219" s="9" t="s">
        <v>23</v>
      </c>
    </row>
    <row r="220" ht="12.75" customHeight="1">
      <c r="A220" s="9">
        <v>6.651022E7</v>
      </c>
      <c r="B220" s="9" t="s">
        <v>128</v>
      </c>
      <c r="C220" s="9" t="s">
        <v>381</v>
      </c>
      <c r="D220" s="9" t="s">
        <v>9</v>
      </c>
      <c r="E220" s="9" t="s">
        <v>21</v>
      </c>
      <c r="F220" s="9" t="s">
        <v>356</v>
      </c>
      <c r="G220" s="10">
        <v>15000.0</v>
      </c>
      <c r="H220" s="9" t="s">
        <v>23</v>
      </c>
    </row>
    <row r="221" ht="12.75" customHeight="1">
      <c r="A221" s="9">
        <v>6.6510271E7</v>
      </c>
      <c r="B221" s="9" t="s">
        <v>382</v>
      </c>
      <c r="C221" s="9" t="s">
        <v>383</v>
      </c>
      <c r="D221" s="9" t="s">
        <v>4</v>
      </c>
      <c r="E221" s="9" t="s">
        <v>21</v>
      </c>
      <c r="F221" s="9" t="s">
        <v>356</v>
      </c>
      <c r="G221" s="10">
        <v>14000.0</v>
      </c>
      <c r="H221" s="9" t="s">
        <v>23</v>
      </c>
    </row>
    <row r="222" ht="12.75" customHeight="1">
      <c r="A222" s="9">
        <v>6.6510272E7</v>
      </c>
      <c r="B222" s="9" t="s">
        <v>382</v>
      </c>
      <c r="C222" s="9" t="s">
        <v>384</v>
      </c>
      <c r="D222" s="9" t="s">
        <v>9</v>
      </c>
      <c r="E222" s="9" t="s">
        <v>21</v>
      </c>
      <c r="F222" s="9" t="s">
        <v>356</v>
      </c>
      <c r="G222" s="10">
        <v>5000.0</v>
      </c>
      <c r="H222" s="9" t="s">
        <v>23</v>
      </c>
    </row>
    <row r="223" ht="12.75" customHeight="1">
      <c r="A223" s="9">
        <v>6.6510692E7</v>
      </c>
      <c r="B223" s="9" t="s">
        <v>211</v>
      </c>
      <c r="C223" s="9" t="s">
        <v>385</v>
      </c>
      <c r="D223" s="9" t="s">
        <v>9</v>
      </c>
      <c r="E223" s="9" t="s">
        <v>21</v>
      </c>
      <c r="F223" s="9" t="s">
        <v>386</v>
      </c>
      <c r="G223" s="10">
        <v>5000.0</v>
      </c>
      <c r="H223" s="9" t="s">
        <v>23</v>
      </c>
    </row>
    <row r="224" ht="12.75" customHeight="1">
      <c r="A224" s="9">
        <v>6.6510701E7</v>
      </c>
      <c r="B224" s="9" t="s">
        <v>211</v>
      </c>
      <c r="C224" s="9" t="s">
        <v>387</v>
      </c>
      <c r="D224" s="9" t="s">
        <v>4</v>
      </c>
      <c r="E224" s="9" t="s">
        <v>21</v>
      </c>
      <c r="F224" s="9" t="s">
        <v>386</v>
      </c>
      <c r="G224" s="10">
        <v>7000.0</v>
      </c>
      <c r="H224" s="9" t="s">
        <v>23</v>
      </c>
    </row>
    <row r="225" ht="12.75" customHeight="1">
      <c r="A225" s="9">
        <v>6.6510731E7</v>
      </c>
      <c r="B225" s="9" t="s">
        <v>201</v>
      </c>
      <c r="C225" s="9" t="s">
        <v>388</v>
      </c>
      <c r="D225" s="9" t="s">
        <v>9</v>
      </c>
      <c r="E225" s="9" t="s">
        <v>21</v>
      </c>
      <c r="F225" s="9" t="s">
        <v>386</v>
      </c>
      <c r="G225" s="10">
        <v>5000.0</v>
      </c>
      <c r="H225" s="9" t="s">
        <v>23</v>
      </c>
    </row>
    <row r="226" ht="12.75" customHeight="1">
      <c r="A226" s="9">
        <v>6.6510736E7</v>
      </c>
      <c r="B226" s="9" t="s">
        <v>201</v>
      </c>
      <c r="C226" s="9" t="s">
        <v>389</v>
      </c>
      <c r="D226" s="9" t="s">
        <v>4</v>
      </c>
      <c r="E226" s="9" t="s">
        <v>21</v>
      </c>
      <c r="F226" s="9" t="s">
        <v>386</v>
      </c>
      <c r="G226" s="10">
        <v>14000.0</v>
      </c>
      <c r="H226" s="9" t="s">
        <v>23</v>
      </c>
    </row>
    <row r="227" ht="12.75" customHeight="1">
      <c r="A227" s="9">
        <v>6.6510827E7</v>
      </c>
      <c r="B227" s="9" t="s">
        <v>205</v>
      </c>
      <c r="C227" s="9" t="s">
        <v>390</v>
      </c>
      <c r="D227" s="9" t="s">
        <v>9</v>
      </c>
      <c r="E227" s="9" t="s">
        <v>21</v>
      </c>
      <c r="F227" s="9" t="s">
        <v>386</v>
      </c>
      <c r="G227" s="10">
        <v>5000.0</v>
      </c>
      <c r="H227" s="9" t="s">
        <v>23</v>
      </c>
    </row>
    <row r="228" ht="12.75" customHeight="1">
      <c r="A228" s="9">
        <v>6.6510843E7</v>
      </c>
      <c r="B228" s="9" t="s">
        <v>205</v>
      </c>
      <c r="C228" s="9" t="s">
        <v>391</v>
      </c>
      <c r="D228" s="9" t="s">
        <v>4</v>
      </c>
      <c r="E228" s="9" t="s">
        <v>21</v>
      </c>
      <c r="F228" s="9" t="s">
        <v>386</v>
      </c>
      <c r="G228" s="10">
        <v>14000.0</v>
      </c>
      <c r="H228" s="9" t="s">
        <v>23</v>
      </c>
    </row>
    <row r="229" ht="12.75" customHeight="1">
      <c r="A229" s="9">
        <v>6.6510853E7</v>
      </c>
      <c r="B229" s="9" t="s">
        <v>211</v>
      </c>
      <c r="C229" s="9" t="s">
        <v>392</v>
      </c>
      <c r="D229" s="9" t="s">
        <v>9</v>
      </c>
      <c r="E229" s="9" t="s">
        <v>21</v>
      </c>
      <c r="F229" s="9" t="s">
        <v>386</v>
      </c>
      <c r="G229" s="10">
        <v>5000.0</v>
      </c>
      <c r="H229" s="9" t="s">
        <v>23</v>
      </c>
    </row>
    <row r="230" ht="12.75" customHeight="1">
      <c r="A230" s="9">
        <v>6.6510862E7</v>
      </c>
      <c r="B230" s="9" t="s">
        <v>211</v>
      </c>
      <c r="C230" s="9" t="s">
        <v>393</v>
      </c>
      <c r="D230" s="9" t="s">
        <v>4</v>
      </c>
      <c r="E230" s="9" t="s">
        <v>21</v>
      </c>
      <c r="F230" s="9" t="s">
        <v>386</v>
      </c>
      <c r="G230" s="10">
        <v>7000.0</v>
      </c>
      <c r="H230" s="9" t="s">
        <v>23</v>
      </c>
    </row>
    <row r="231" ht="12.75" customHeight="1">
      <c r="A231" s="9">
        <v>6.6510958E7</v>
      </c>
      <c r="B231" s="9" t="s">
        <v>88</v>
      </c>
      <c r="C231" s="9" t="s">
        <v>394</v>
      </c>
      <c r="D231" s="9" t="s">
        <v>10</v>
      </c>
      <c r="E231" s="9" t="s">
        <v>21</v>
      </c>
      <c r="F231" s="9" t="s">
        <v>386</v>
      </c>
      <c r="G231" s="10">
        <v>210000.0</v>
      </c>
      <c r="H231" s="9" t="s">
        <v>23</v>
      </c>
    </row>
    <row r="232" ht="12.75" customHeight="1">
      <c r="A232" s="9">
        <v>6.6511131E7</v>
      </c>
      <c r="B232" s="9" t="s">
        <v>395</v>
      </c>
      <c r="C232" s="9" t="s">
        <v>396</v>
      </c>
      <c r="D232" s="9" t="s">
        <v>9</v>
      </c>
      <c r="E232" s="9" t="s">
        <v>21</v>
      </c>
      <c r="F232" s="9" t="s">
        <v>386</v>
      </c>
      <c r="G232" s="10">
        <v>25000.0</v>
      </c>
      <c r="H232" s="9" t="s">
        <v>23</v>
      </c>
    </row>
    <row r="233" ht="12.75" customHeight="1">
      <c r="A233" s="9">
        <v>6.6511153E7</v>
      </c>
      <c r="B233" s="9" t="s">
        <v>397</v>
      </c>
      <c r="C233" s="9" t="s">
        <v>398</v>
      </c>
      <c r="D233" s="9" t="s">
        <v>9</v>
      </c>
      <c r="E233" s="9" t="s">
        <v>21</v>
      </c>
      <c r="F233" s="9" t="s">
        <v>386</v>
      </c>
      <c r="G233" s="10">
        <v>5000.0</v>
      </c>
      <c r="H233" s="9" t="s">
        <v>23</v>
      </c>
    </row>
    <row r="234" ht="12.75" customHeight="1">
      <c r="A234" s="9">
        <v>6.6511155E7</v>
      </c>
      <c r="B234" s="9" t="s">
        <v>399</v>
      </c>
      <c r="C234" s="9" t="s">
        <v>400</v>
      </c>
      <c r="D234" s="9" t="s">
        <v>9</v>
      </c>
      <c r="E234" s="9" t="s">
        <v>21</v>
      </c>
      <c r="F234" s="9" t="s">
        <v>386</v>
      </c>
      <c r="G234" s="10">
        <v>15000.0</v>
      </c>
      <c r="H234" s="9" t="s">
        <v>23</v>
      </c>
    </row>
    <row r="235" ht="12.75" customHeight="1">
      <c r="A235" s="9">
        <v>6.6511165E7</v>
      </c>
      <c r="B235" s="9" t="s">
        <v>399</v>
      </c>
      <c r="C235" s="9" t="s">
        <v>401</v>
      </c>
      <c r="D235" s="9" t="s">
        <v>7</v>
      </c>
      <c r="E235" s="9" t="s">
        <v>21</v>
      </c>
      <c r="F235" s="9" t="s">
        <v>386</v>
      </c>
      <c r="G235" s="10">
        <v>41600.0</v>
      </c>
      <c r="H235" s="9" t="s">
        <v>23</v>
      </c>
    </row>
    <row r="236" ht="12.75" customHeight="1">
      <c r="A236" s="9">
        <v>6.6511185E7</v>
      </c>
      <c r="B236" s="9" t="s">
        <v>395</v>
      </c>
      <c r="C236" s="9" t="s">
        <v>402</v>
      </c>
      <c r="D236" s="9" t="s">
        <v>3</v>
      </c>
      <c r="E236" s="9" t="s">
        <v>21</v>
      </c>
      <c r="F236" s="9" t="s">
        <v>386</v>
      </c>
      <c r="G236" s="10">
        <v>2526.0</v>
      </c>
      <c r="H236" s="9" t="s">
        <v>23</v>
      </c>
    </row>
    <row r="237" ht="12.75" customHeight="1">
      <c r="A237" s="9">
        <v>6.6511214E7</v>
      </c>
      <c r="B237" s="9" t="s">
        <v>397</v>
      </c>
      <c r="C237" s="9" t="s">
        <v>403</v>
      </c>
      <c r="D237" s="9" t="s">
        <v>4</v>
      </c>
      <c r="E237" s="9" t="s">
        <v>21</v>
      </c>
      <c r="F237" s="9" t="s">
        <v>386</v>
      </c>
      <c r="G237" s="10">
        <v>7000.0</v>
      </c>
      <c r="H237" s="9" t="s">
        <v>23</v>
      </c>
    </row>
    <row r="238" ht="12.75" customHeight="1">
      <c r="A238" s="9">
        <v>6.6511242E7</v>
      </c>
      <c r="B238" s="9" t="s">
        <v>404</v>
      </c>
      <c r="C238" s="9" t="s">
        <v>405</v>
      </c>
      <c r="D238" s="9" t="s">
        <v>9</v>
      </c>
      <c r="E238" s="9" t="s">
        <v>21</v>
      </c>
      <c r="F238" s="9" t="s">
        <v>386</v>
      </c>
      <c r="G238" s="10">
        <v>5000.0</v>
      </c>
      <c r="H238" s="9" t="s">
        <v>23</v>
      </c>
    </row>
    <row r="239" ht="12.75" customHeight="1">
      <c r="A239" s="9">
        <v>6.651125E7</v>
      </c>
      <c r="B239" s="9" t="s">
        <v>406</v>
      </c>
      <c r="C239" s="9" t="s">
        <v>407</v>
      </c>
      <c r="D239" s="9" t="s">
        <v>9</v>
      </c>
      <c r="E239" s="9" t="s">
        <v>21</v>
      </c>
      <c r="F239" s="9" t="s">
        <v>386</v>
      </c>
      <c r="G239" s="10">
        <v>10000.0</v>
      </c>
      <c r="H239" s="9" t="s">
        <v>23</v>
      </c>
    </row>
    <row r="240" ht="12.75" customHeight="1">
      <c r="A240" s="9">
        <v>6.651126E7</v>
      </c>
      <c r="B240" s="9" t="s">
        <v>406</v>
      </c>
      <c r="C240" s="9" t="s">
        <v>408</v>
      </c>
      <c r="D240" s="9" t="s">
        <v>7</v>
      </c>
      <c r="E240" s="9" t="s">
        <v>21</v>
      </c>
      <c r="F240" s="9" t="s">
        <v>386</v>
      </c>
      <c r="G240" s="10">
        <v>30000.0</v>
      </c>
      <c r="H240" s="9" t="s">
        <v>23</v>
      </c>
    </row>
    <row r="241" ht="12.75" customHeight="1">
      <c r="A241" s="9">
        <v>6.651129E7</v>
      </c>
      <c r="B241" s="9" t="s">
        <v>201</v>
      </c>
      <c r="C241" s="9" t="s">
        <v>409</v>
      </c>
      <c r="D241" s="9" t="s">
        <v>9</v>
      </c>
      <c r="E241" s="9" t="s">
        <v>21</v>
      </c>
      <c r="F241" s="9" t="s">
        <v>386</v>
      </c>
      <c r="G241" s="10">
        <v>5000.0</v>
      </c>
      <c r="H241" s="9" t="s">
        <v>23</v>
      </c>
    </row>
    <row r="242" ht="12.75" customHeight="1">
      <c r="A242" s="9">
        <v>6.6511292E7</v>
      </c>
      <c r="B242" s="9" t="s">
        <v>201</v>
      </c>
      <c r="C242" s="9" t="s">
        <v>410</v>
      </c>
      <c r="D242" s="9" t="s">
        <v>4</v>
      </c>
      <c r="E242" s="9" t="s">
        <v>21</v>
      </c>
      <c r="F242" s="9" t="s">
        <v>386</v>
      </c>
      <c r="G242" s="10">
        <v>14000.0</v>
      </c>
      <c r="H242" s="9" t="s">
        <v>23</v>
      </c>
    </row>
    <row r="243" ht="12.75" customHeight="1">
      <c r="A243" s="9">
        <v>6.6511344E7</v>
      </c>
      <c r="B243" s="9" t="s">
        <v>411</v>
      </c>
      <c r="C243" s="9" t="s">
        <v>412</v>
      </c>
      <c r="D243" s="9" t="s">
        <v>9</v>
      </c>
      <c r="E243" s="9" t="s">
        <v>21</v>
      </c>
      <c r="F243" s="9" t="s">
        <v>386</v>
      </c>
      <c r="G243" s="10">
        <v>10000.0</v>
      </c>
      <c r="H243" s="9" t="s">
        <v>23</v>
      </c>
    </row>
    <row r="244" ht="12.75" customHeight="1">
      <c r="A244" s="9">
        <v>6.6511423E7</v>
      </c>
      <c r="B244" s="9" t="s">
        <v>211</v>
      </c>
      <c r="C244" s="9" t="s">
        <v>413</v>
      </c>
      <c r="D244" s="9" t="s">
        <v>9</v>
      </c>
      <c r="E244" s="9" t="s">
        <v>21</v>
      </c>
      <c r="F244" s="9" t="s">
        <v>386</v>
      </c>
      <c r="G244" s="10">
        <v>5000.0</v>
      </c>
      <c r="H244" s="9" t="s">
        <v>23</v>
      </c>
    </row>
    <row r="245" ht="12.75" customHeight="1">
      <c r="A245" s="9">
        <v>6.6511428E7</v>
      </c>
      <c r="B245" s="9" t="s">
        <v>211</v>
      </c>
      <c r="C245" s="9" t="s">
        <v>414</v>
      </c>
      <c r="D245" s="9" t="s">
        <v>4</v>
      </c>
      <c r="E245" s="9" t="s">
        <v>21</v>
      </c>
      <c r="F245" s="9" t="s">
        <v>386</v>
      </c>
      <c r="G245" s="10">
        <v>6000.0</v>
      </c>
      <c r="H245" s="9" t="s">
        <v>23</v>
      </c>
    </row>
    <row r="246" ht="12.75" customHeight="1">
      <c r="A246" s="9">
        <v>6.6511435E7</v>
      </c>
      <c r="B246" s="9" t="s">
        <v>205</v>
      </c>
      <c r="C246" s="9" t="s">
        <v>415</v>
      </c>
      <c r="D246" s="9" t="s">
        <v>9</v>
      </c>
      <c r="E246" s="9" t="s">
        <v>21</v>
      </c>
      <c r="F246" s="9" t="s">
        <v>386</v>
      </c>
      <c r="G246" s="10">
        <v>5000.0</v>
      </c>
      <c r="H246" s="9" t="s">
        <v>23</v>
      </c>
    </row>
    <row r="247" ht="12.75" customHeight="1">
      <c r="A247" s="9">
        <v>6.6511447E7</v>
      </c>
      <c r="B247" s="9" t="s">
        <v>205</v>
      </c>
      <c r="C247" s="9" t="s">
        <v>416</v>
      </c>
      <c r="D247" s="9" t="s">
        <v>4</v>
      </c>
      <c r="E247" s="9" t="s">
        <v>21</v>
      </c>
      <c r="F247" s="9" t="s">
        <v>386</v>
      </c>
      <c r="G247" s="10">
        <v>14000.0</v>
      </c>
      <c r="H247" s="9" t="s">
        <v>23</v>
      </c>
    </row>
    <row r="248" ht="12.75" customHeight="1">
      <c r="A248" s="9">
        <v>6.6511536E7</v>
      </c>
      <c r="B248" s="9" t="s">
        <v>417</v>
      </c>
      <c r="C248" s="9" t="s">
        <v>418</v>
      </c>
      <c r="D248" s="9" t="s">
        <v>9</v>
      </c>
      <c r="E248" s="9" t="s">
        <v>21</v>
      </c>
      <c r="F248" s="9" t="s">
        <v>386</v>
      </c>
      <c r="G248" s="10">
        <v>5000.0</v>
      </c>
      <c r="H248" s="9" t="s">
        <v>23</v>
      </c>
    </row>
    <row r="249" ht="12.75" customHeight="1">
      <c r="A249" s="9">
        <v>6.6511546E7</v>
      </c>
      <c r="B249" s="9" t="s">
        <v>417</v>
      </c>
      <c r="C249" s="9" t="s">
        <v>419</v>
      </c>
      <c r="D249" s="9" t="s">
        <v>7</v>
      </c>
      <c r="E249" s="9" t="s">
        <v>21</v>
      </c>
      <c r="F249" s="9" t="s">
        <v>386</v>
      </c>
      <c r="G249" s="10">
        <v>46800.0</v>
      </c>
      <c r="H249" s="9" t="s">
        <v>23</v>
      </c>
    </row>
    <row r="250" ht="12.75" customHeight="1">
      <c r="A250" s="9">
        <v>6.6511574E7</v>
      </c>
      <c r="B250" s="9" t="s">
        <v>420</v>
      </c>
      <c r="C250" s="9" t="s">
        <v>421</v>
      </c>
      <c r="D250" s="9" t="s">
        <v>9</v>
      </c>
      <c r="E250" s="9" t="s">
        <v>21</v>
      </c>
      <c r="F250" s="9" t="s">
        <v>386</v>
      </c>
      <c r="G250" s="10">
        <v>5000.0</v>
      </c>
      <c r="H250" s="9" t="s">
        <v>23</v>
      </c>
    </row>
    <row r="251" ht="12.75" customHeight="1">
      <c r="A251" s="9">
        <v>6.6511583E7</v>
      </c>
      <c r="B251" s="9" t="s">
        <v>420</v>
      </c>
      <c r="C251" s="9" t="s">
        <v>422</v>
      </c>
      <c r="D251" s="9" t="s">
        <v>7</v>
      </c>
      <c r="E251" s="9" t="s">
        <v>21</v>
      </c>
      <c r="F251" s="9" t="s">
        <v>386</v>
      </c>
      <c r="G251" s="10">
        <v>46800.0</v>
      </c>
      <c r="H251" s="9" t="s">
        <v>23</v>
      </c>
    </row>
    <row r="252" ht="12.75" customHeight="1">
      <c r="G252" s="8"/>
    </row>
    <row r="253" ht="12.75" customHeight="1">
      <c r="F253" s="11" t="s">
        <v>423</v>
      </c>
      <c r="G253" s="8" t="s">
        <v>424</v>
      </c>
    </row>
    <row r="254" ht="12.75" customHeight="1">
      <c r="G254" s="8"/>
    </row>
    <row r="255" ht="12.75" customHeight="1">
      <c r="G255" s="8"/>
    </row>
    <row r="256" ht="12.75" customHeight="1">
      <c r="G256" s="8"/>
    </row>
    <row r="257" ht="12.75" customHeight="1">
      <c r="G257" s="8"/>
    </row>
    <row r="258" ht="12.75" customHeight="1">
      <c r="G258" s="8"/>
    </row>
    <row r="259" ht="12.75" customHeight="1">
      <c r="G259" s="8"/>
    </row>
    <row r="260" ht="12.75" customHeight="1">
      <c r="G260" s="8"/>
    </row>
    <row r="261" ht="12.75" customHeight="1">
      <c r="G261" s="8"/>
    </row>
    <row r="262" ht="12.75" customHeight="1">
      <c r="G262" s="8"/>
    </row>
    <row r="263" ht="12.75" customHeight="1">
      <c r="G263" s="8"/>
    </row>
    <row r="264" ht="12.75" customHeight="1">
      <c r="G264" s="8"/>
    </row>
    <row r="265" ht="12.75" customHeight="1">
      <c r="G265" s="8"/>
    </row>
    <row r="266" ht="12.75" customHeight="1">
      <c r="G266" s="8"/>
    </row>
    <row r="267" ht="12.75" customHeight="1">
      <c r="G267" s="8"/>
    </row>
    <row r="268" ht="12.75" customHeight="1">
      <c r="G268" s="8"/>
    </row>
    <row r="269" ht="12.75" customHeight="1">
      <c r="G269" s="8"/>
    </row>
    <row r="270" ht="12.75" customHeight="1">
      <c r="G270" s="8"/>
    </row>
    <row r="271" ht="12.75" customHeight="1">
      <c r="G271" s="8"/>
    </row>
    <row r="272" ht="12.75" customHeight="1">
      <c r="G272" s="8"/>
    </row>
    <row r="273" ht="12.75" customHeight="1">
      <c r="G273" s="8"/>
    </row>
    <row r="274" ht="12.75" customHeight="1">
      <c r="G274" s="8"/>
    </row>
    <row r="275" ht="12.75" customHeight="1">
      <c r="G275" s="8"/>
    </row>
    <row r="276" ht="12.75" customHeight="1">
      <c r="G276" s="8"/>
    </row>
    <row r="277" ht="12.75" customHeight="1">
      <c r="G277" s="8"/>
    </row>
    <row r="278" ht="12.75" customHeight="1">
      <c r="G278" s="8"/>
    </row>
    <row r="279" ht="12.75" customHeight="1">
      <c r="G279" s="8"/>
    </row>
    <row r="280" ht="12.75" customHeight="1">
      <c r="G280" s="8"/>
    </row>
    <row r="281" ht="12.75" customHeight="1">
      <c r="G281" s="8"/>
    </row>
    <row r="282" ht="12.75" customHeight="1">
      <c r="G282" s="8"/>
    </row>
    <row r="283" ht="12.75" customHeight="1">
      <c r="G283" s="8"/>
    </row>
    <row r="284" ht="12.75" customHeight="1">
      <c r="G284" s="8"/>
    </row>
    <row r="285" ht="12.75" customHeight="1">
      <c r="G285" s="8"/>
    </row>
    <row r="286" ht="12.75" customHeight="1">
      <c r="G286" s="8"/>
    </row>
    <row r="287" ht="12.75" customHeight="1">
      <c r="G287" s="8"/>
    </row>
    <row r="288" ht="12.75" customHeight="1">
      <c r="G288" s="8"/>
    </row>
    <row r="289" ht="12.75" customHeight="1">
      <c r="G289" s="8"/>
    </row>
    <row r="290" ht="12.75" customHeight="1">
      <c r="G290" s="8"/>
    </row>
    <row r="291" ht="12.75" customHeight="1">
      <c r="G291" s="8"/>
    </row>
    <row r="292" ht="12.75" customHeight="1">
      <c r="G292" s="8"/>
    </row>
    <row r="293" ht="12.75" customHeight="1">
      <c r="G293" s="8"/>
    </row>
    <row r="294" ht="12.75" customHeight="1">
      <c r="G294" s="8"/>
    </row>
    <row r="295" ht="12.75" customHeight="1">
      <c r="G295" s="8"/>
    </row>
    <row r="296" ht="12.75" customHeight="1">
      <c r="G296" s="8"/>
    </row>
    <row r="297" ht="12.75" customHeight="1">
      <c r="G297" s="8"/>
    </row>
    <row r="298" ht="12.75" customHeight="1">
      <c r="G298" s="8"/>
    </row>
    <row r="299" ht="12.75" customHeight="1">
      <c r="G299" s="8"/>
    </row>
    <row r="300" ht="12.75" customHeight="1">
      <c r="G300" s="8"/>
    </row>
    <row r="301" ht="12.75" customHeight="1">
      <c r="G301" s="8"/>
    </row>
    <row r="302" ht="12.75" customHeight="1">
      <c r="G302" s="8"/>
    </row>
    <row r="303" ht="12.75" customHeight="1">
      <c r="G303" s="8"/>
    </row>
    <row r="304" ht="12.75" customHeight="1">
      <c r="G304" s="8"/>
    </row>
    <row r="305" ht="12.75" customHeight="1">
      <c r="G305" s="8"/>
    </row>
    <row r="306" ht="12.75" customHeight="1">
      <c r="G306" s="8"/>
    </row>
    <row r="307" ht="12.75" customHeight="1">
      <c r="G307" s="8"/>
    </row>
    <row r="308" ht="12.75" customHeight="1">
      <c r="G308" s="8"/>
    </row>
    <row r="309" ht="12.75" customHeight="1">
      <c r="G309" s="8"/>
    </row>
    <row r="310" ht="12.75" customHeight="1">
      <c r="G310" s="8"/>
    </row>
    <row r="311" ht="12.75" customHeight="1">
      <c r="G311" s="8"/>
    </row>
    <row r="312" ht="12.75" customHeight="1">
      <c r="G312" s="8"/>
    </row>
    <row r="313" ht="12.75" customHeight="1">
      <c r="G313" s="8"/>
    </row>
    <row r="314" ht="12.75" customHeight="1">
      <c r="G314" s="8"/>
    </row>
    <row r="315" ht="12.75" customHeight="1">
      <c r="G315" s="8"/>
    </row>
    <row r="316" ht="12.75" customHeight="1">
      <c r="G316" s="8"/>
    </row>
    <row r="317" ht="12.75" customHeight="1">
      <c r="G317" s="8"/>
    </row>
    <row r="318" ht="12.75" customHeight="1">
      <c r="G318" s="8"/>
    </row>
    <row r="319" ht="12.75" customHeight="1">
      <c r="G319" s="8"/>
    </row>
    <row r="320" ht="12.75" customHeight="1">
      <c r="G320" s="8"/>
    </row>
    <row r="321" ht="12.75" customHeight="1">
      <c r="G321" s="8"/>
    </row>
    <row r="322" ht="12.75" customHeight="1">
      <c r="G322" s="8"/>
    </row>
    <row r="323" ht="12.75" customHeight="1">
      <c r="G323" s="8"/>
    </row>
    <row r="324" ht="12.75" customHeight="1">
      <c r="G324" s="8"/>
    </row>
    <row r="325" ht="12.75" customHeight="1">
      <c r="G325" s="8"/>
    </row>
    <row r="326" ht="12.75" customHeight="1">
      <c r="G326" s="8"/>
    </row>
    <row r="327" ht="12.75" customHeight="1">
      <c r="G327" s="8"/>
    </row>
    <row r="328" ht="12.75" customHeight="1">
      <c r="G328" s="8"/>
    </row>
    <row r="329" ht="12.75" customHeight="1">
      <c r="G329" s="8"/>
    </row>
    <row r="330" ht="12.75" customHeight="1">
      <c r="G330" s="8"/>
    </row>
    <row r="331" ht="12.75" customHeight="1">
      <c r="G331" s="8"/>
    </row>
    <row r="332" ht="12.75" customHeight="1">
      <c r="G332" s="8"/>
    </row>
    <row r="333" ht="12.75" customHeight="1">
      <c r="G333" s="8"/>
    </row>
    <row r="334" ht="12.75" customHeight="1">
      <c r="G334" s="8"/>
    </row>
    <row r="335" ht="12.75" customHeight="1">
      <c r="G335" s="8"/>
    </row>
    <row r="336" ht="12.75" customHeight="1">
      <c r="G336" s="8"/>
    </row>
    <row r="337" ht="12.75" customHeight="1">
      <c r="G337" s="8"/>
    </row>
    <row r="338" ht="12.75" customHeight="1">
      <c r="G338" s="8"/>
    </row>
    <row r="339" ht="12.75" customHeight="1">
      <c r="G339" s="8"/>
    </row>
    <row r="340" ht="12.75" customHeight="1">
      <c r="G340" s="8"/>
    </row>
    <row r="341" ht="12.75" customHeight="1">
      <c r="G341" s="8"/>
    </row>
    <row r="342" ht="12.75" customHeight="1">
      <c r="G342" s="8"/>
    </row>
    <row r="343" ht="12.75" customHeight="1">
      <c r="G343" s="8"/>
    </row>
    <row r="344" ht="12.75" customHeight="1">
      <c r="G344" s="8"/>
    </row>
    <row r="345" ht="12.75" customHeight="1">
      <c r="G345" s="8"/>
    </row>
    <row r="346" ht="12.75" customHeight="1">
      <c r="G346" s="8"/>
    </row>
    <row r="347" ht="12.75" customHeight="1">
      <c r="G347" s="8"/>
    </row>
    <row r="348" ht="12.75" customHeight="1">
      <c r="G348" s="8"/>
    </row>
    <row r="349" ht="12.75" customHeight="1">
      <c r="G349" s="8"/>
    </row>
    <row r="350" ht="12.75" customHeight="1">
      <c r="G350" s="8"/>
    </row>
    <row r="351" ht="12.75" customHeight="1">
      <c r="G351" s="8"/>
    </row>
    <row r="352" ht="12.75" customHeight="1">
      <c r="G352" s="8"/>
    </row>
    <row r="353" ht="12.75" customHeight="1">
      <c r="G353" s="8"/>
    </row>
    <row r="354" ht="12.75" customHeight="1">
      <c r="G354" s="8"/>
    </row>
    <row r="355" ht="12.75" customHeight="1">
      <c r="G355" s="8"/>
    </row>
    <row r="356" ht="12.75" customHeight="1">
      <c r="G356" s="8"/>
    </row>
    <row r="357" ht="12.75" customHeight="1">
      <c r="G357" s="8"/>
    </row>
    <row r="358" ht="12.75" customHeight="1">
      <c r="G358" s="8"/>
    </row>
    <row r="359" ht="12.75" customHeight="1">
      <c r="G359" s="8"/>
    </row>
    <row r="360" ht="12.75" customHeight="1">
      <c r="G360" s="8"/>
    </row>
    <row r="361" ht="12.75" customHeight="1">
      <c r="G361" s="8"/>
    </row>
    <row r="362" ht="12.75" customHeight="1">
      <c r="G362" s="8"/>
    </row>
    <row r="363" ht="12.75" customHeight="1">
      <c r="G363" s="8"/>
    </row>
    <row r="364" ht="12.75" customHeight="1">
      <c r="G364" s="8"/>
    </row>
    <row r="365" ht="12.75" customHeight="1">
      <c r="G365" s="8"/>
    </row>
    <row r="366" ht="12.75" customHeight="1">
      <c r="G366" s="8"/>
    </row>
    <row r="367" ht="12.75" customHeight="1">
      <c r="G367" s="8"/>
    </row>
    <row r="368" ht="12.75" customHeight="1">
      <c r="G368" s="8"/>
    </row>
    <row r="369" ht="12.75" customHeight="1">
      <c r="G369" s="8"/>
    </row>
    <row r="370" ht="12.75" customHeight="1">
      <c r="G370" s="8"/>
    </row>
    <row r="371" ht="12.75" customHeight="1">
      <c r="G371" s="8"/>
    </row>
    <row r="372" ht="12.75" customHeight="1">
      <c r="G372" s="8"/>
    </row>
    <row r="373" ht="12.75" customHeight="1">
      <c r="G373" s="8"/>
    </row>
    <row r="374" ht="12.75" customHeight="1">
      <c r="G374" s="8"/>
    </row>
    <row r="375" ht="12.75" customHeight="1">
      <c r="G375" s="8"/>
    </row>
    <row r="376" ht="12.75" customHeight="1">
      <c r="G376" s="8"/>
    </row>
    <row r="377" ht="12.75" customHeight="1">
      <c r="G377" s="8"/>
    </row>
    <row r="378" ht="12.75" customHeight="1">
      <c r="G378" s="8"/>
    </row>
    <row r="379" ht="12.75" customHeight="1">
      <c r="G379" s="8"/>
    </row>
    <row r="380" ht="12.75" customHeight="1">
      <c r="G380" s="8"/>
    </row>
    <row r="381" ht="12.75" customHeight="1">
      <c r="G381" s="8"/>
    </row>
    <row r="382" ht="12.75" customHeight="1">
      <c r="G382" s="8"/>
    </row>
    <row r="383" ht="12.75" customHeight="1">
      <c r="G383" s="8"/>
    </row>
    <row r="384" ht="12.75" customHeight="1">
      <c r="G384" s="8"/>
    </row>
    <row r="385" ht="12.75" customHeight="1">
      <c r="G385" s="8"/>
    </row>
    <row r="386" ht="12.75" customHeight="1">
      <c r="G386" s="8"/>
    </row>
    <row r="387" ht="12.75" customHeight="1">
      <c r="G387" s="8"/>
    </row>
    <row r="388" ht="12.75" customHeight="1">
      <c r="G388" s="8"/>
    </row>
    <row r="389" ht="12.75" customHeight="1">
      <c r="G389" s="8"/>
    </row>
    <row r="390" ht="12.75" customHeight="1">
      <c r="G390" s="8"/>
    </row>
    <row r="391" ht="12.75" customHeight="1">
      <c r="G391" s="8"/>
    </row>
    <row r="392" ht="12.75" customHeight="1">
      <c r="G392" s="8"/>
    </row>
    <row r="393" ht="12.75" customHeight="1">
      <c r="G393" s="8"/>
    </row>
    <row r="394" ht="12.75" customHeight="1">
      <c r="G394" s="8"/>
    </row>
    <row r="395" ht="12.75" customHeight="1">
      <c r="G395" s="8"/>
    </row>
    <row r="396" ht="12.75" customHeight="1">
      <c r="G396" s="8"/>
    </row>
    <row r="397" ht="12.75" customHeight="1">
      <c r="G397" s="8"/>
    </row>
    <row r="398" ht="12.75" customHeight="1">
      <c r="G398" s="8"/>
    </row>
    <row r="399" ht="12.75" customHeight="1">
      <c r="G399" s="8"/>
    </row>
    <row r="400" ht="12.75" customHeight="1">
      <c r="G400" s="8"/>
    </row>
    <row r="401" ht="12.75" customHeight="1">
      <c r="G401" s="8"/>
    </row>
    <row r="402" ht="12.75" customHeight="1">
      <c r="G402" s="8"/>
    </row>
    <row r="403" ht="12.75" customHeight="1">
      <c r="G403" s="8"/>
    </row>
    <row r="404" ht="12.75" customHeight="1">
      <c r="G404" s="8"/>
    </row>
    <row r="405" ht="12.75" customHeight="1">
      <c r="G405" s="8"/>
    </row>
    <row r="406" ht="12.75" customHeight="1">
      <c r="G406" s="8"/>
    </row>
    <row r="407" ht="12.75" customHeight="1">
      <c r="G407" s="8"/>
    </row>
    <row r="408" ht="12.75" customHeight="1">
      <c r="G408" s="8"/>
    </row>
    <row r="409" ht="12.75" customHeight="1">
      <c r="G409" s="8"/>
    </row>
    <row r="410" ht="12.75" customHeight="1">
      <c r="G410" s="8"/>
    </row>
    <row r="411" ht="12.75" customHeight="1">
      <c r="G411" s="8"/>
    </row>
    <row r="412" ht="12.75" customHeight="1">
      <c r="G412" s="8"/>
    </row>
    <row r="413" ht="12.75" customHeight="1">
      <c r="G413" s="8"/>
    </row>
    <row r="414" ht="12.75" customHeight="1">
      <c r="G414" s="8"/>
    </row>
    <row r="415" ht="12.75" customHeight="1">
      <c r="G415" s="8"/>
    </row>
    <row r="416" ht="12.75" customHeight="1">
      <c r="G416" s="8"/>
    </row>
    <row r="417" ht="12.75" customHeight="1">
      <c r="G417" s="8"/>
    </row>
    <row r="418" ht="12.75" customHeight="1">
      <c r="G418" s="8"/>
    </row>
    <row r="419" ht="12.75" customHeight="1">
      <c r="G419" s="8"/>
    </row>
    <row r="420" ht="12.75" customHeight="1">
      <c r="G420" s="8"/>
    </row>
    <row r="421" ht="12.75" customHeight="1">
      <c r="G421" s="8"/>
    </row>
    <row r="422" ht="12.75" customHeight="1">
      <c r="G422" s="8"/>
    </row>
    <row r="423" ht="12.75" customHeight="1">
      <c r="G423" s="8"/>
    </row>
    <row r="424" ht="12.75" customHeight="1">
      <c r="G424" s="8"/>
    </row>
    <row r="425" ht="12.75" customHeight="1">
      <c r="G425" s="8"/>
    </row>
    <row r="426" ht="12.75" customHeight="1">
      <c r="G426" s="8"/>
    </row>
    <row r="427" ht="12.75" customHeight="1">
      <c r="G427" s="8"/>
    </row>
    <row r="428" ht="12.75" customHeight="1">
      <c r="G428" s="8"/>
    </row>
    <row r="429" ht="12.75" customHeight="1">
      <c r="G429" s="8"/>
    </row>
    <row r="430" ht="12.75" customHeight="1">
      <c r="G430" s="8"/>
    </row>
    <row r="431" ht="12.75" customHeight="1">
      <c r="G431" s="8"/>
    </row>
    <row r="432" ht="12.75" customHeight="1">
      <c r="G432" s="8"/>
    </row>
    <row r="433" ht="12.75" customHeight="1">
      <c r="G433" s="8"/>
    </row>
    <row r="434" ht="12.75" customHeight="1">
      <c r="G434" s="8"/>
    </row>
    <row r="435" ht="12.75" customHeight="1">
      <c r="G435" s="8"/>
    </row>
    <row r="436" ht="12.75" customHeight="1">
      <c r="G436" s="8"/>
    </row>
    <row r="437" ht="12.75" customHeight="1">
      <c r="G437" s="8"/>
    </row>
    <row r="438" ht="12.75" customHeight="1">
      <c r="G438" s="8"/>
    </row>
    <row r="439" ht="12.75" customHeight="1">
      <c r="G439" s="8"/>
    </row>
    <row r="440" ht="12.75" customHeight="1">
      <c r="G440" s="8"/>
    </row>
    <row r="441" ht="12.75" customHeight="1">
      <c r="G441" s="8"/>
    </row>
    <row r="442" ht="12.75" customHeight="1">
      <c r="G442" s="8"/>
    </row>
    <row r="443" ht="12.75" customHeight="1">
      <c r="G443" s="8"/>
    </row>
    <row r="444" ht="12.75" customHeight="1">
      <c r="G444" s="8"/>
    </row>
    <row r="445" ht="12.75" customHeight="1">
      <c r="G445" s="8"/>
    </row>
    <row r="446" ht="12.75" customHeight="1">
      <c r="G446" s="8"/>
    </row>
    <row r="447" ht="12.75" customHeight="1">
      <c r="G447" s="8"/>
    </row>
    <row r="448" ht="12.75" customHeight="1">
      <c r="G448" s="8"/>
    </row>
    <row r="449" ht="12.75" customHeight="1">
      <c r="G449" s="8"/>
    </row>
    <row r="450" ht="12.75" customHeight="1">
      <c r="G450" s="8"/>
    </row>
    <row r="451" ht="12.75" customHeight="1">
      <c r="G451" s="8"/>
    </row>
    <row r="452" ht="12.75" customHeight="1">
      <c r="G452" s="8"/>
    </row>
    <row r="453" ht="12.75" customHeight="1">
      <c r="G453" s="8"/>
    </row>
    <row r="454" ht="12.75" customHeight="1">
      <c r="G454" s="8"/>
    </row>
    <row r="455" ht="12.75" customHeight="1">
      <c r="G455" s="8"/>
    </row>
    <row r="456" ht="12.75" customHeight="1">
      <c r="G456" s="8"/>
    </row>
    <row r="457" ht="12.75" customHeight="1">
      <c r="G457" s="8"/>
    </row>
    <row r="458" ht="12.75" customHeight="1">
      <c r="G458" s="8"/>
    </row>
    <row r="459" ht="12.75" customHeight="1">
      <c r="G459" s="8"/>
    </row>
    <row r="460" ht="12.75" customHeight="1">
      <c r="G460" s="8"/>
    </row>
    <row r="461" ht="12.75" customHeight="1">
      <c r="G461" s="8"/>
    </row>
    <row r="462" ht="12.75" customHeight="1">
      <c r="G462" s="8"/>
    </row>
    <row r="463" ht="12.75" customHeight="1">
      <c r="G463" s="8"/>
    </row>
    <row r="464" ht="12.75" customHeight="1">
      <c r="G464" s="8"/>
    </row>
    <row r="465" ht="12.75" customHeight="1">
      <c r="G465" s="8"/>
    </row>
    <row r="466" ht="12.75" customHeight="1">
      <c r="G466" s="8"/>
    </row>
    <row r="467" ht="12.75" customHeight="1">
      <c r="G467" s="8"/>
    </row>
    <row r="468" ht="12.75" customHeight="1">
      <c r="G468" s="8"/>
    </row>
    <row r="469" ht="12.75" customHeight="1">
      <c r="G469" s="8"/>
    </row>
    <row r="470" ht="12.75" customHeight="1">
      <c r="G470" s="8"/>
    </row>
    <row r="471" ht="12.75" customHeight="1">
      <c r="G471" s="8"/>
    </row>
    <row r="472" ht="12.75" customHeight="1">
      <c r="G472" s="8"/>
    </row>
    <row r="473" ht="12.75" customHeight="1">
      <c r="G473" s="8"/>
    </row>
    <row r="474" ht="12.75" customHeight="1">
      <c r="G474" s="8"/>
    </row>
    <row r="475" ht="12.75" customHeight="1">
      <c r="G475" s="8"/>
    </row>
    <row r="476" ht="12.75" customHeight="1">
      <c r="G476" s="8"/>
    </row>
    <row r="477" ht="12.75" customHeight="1">
      <c r="G477" s="8"/>
    </row>
    <row r="478" ht="12.75" customHeight="1">
      <c r="G478" s="8"/>
    </row>
    <row r="479" ht="12.75" customHeight="1">
      <c r="G479" s="8"/>
    </row>
    <row r="480" ht="12.75" customHeight="1">
      <c r="G480" s="8"/>
    </row>
    <row r="481" ht="12.75" customHeight="1">
      <c r="G481" s="8"/>
    </row>
    <row r="482" ht="12.75" customHeight="1">
      <c r="G482" s="8"/>
    </row>
    <row r="483" ht="12.75" customHeight="1">
      <c r="G483" s="8"/>
    </row>
    <row r="484" ht="12.75" customHeight="1">
      <c r="G484" s="8"/>
    </row>
    <row r="485" ht="12.75" customHeight="1">
      <c r="G485" s="8"/>
    </row>
    <row r="486" ht="12.75" customHeight="1">
      <c r="G486" s="8"/>
    </row>
    <row r="487" ht="12.75" customHeight="1">
      <c r="G487" s="8"/>
    </row>
    <row r="488" ht="12.75" customHeight="1">
      <c r="G488" s="8"/>
    </row>
    <row r="489" ht="12.75" customHeight="1">
      <c r="G489" s="8"/>
    </row>
    <row r="490" ht="12.75" customHeight="1">
      <c r="G490" s="8"/>
    </row>
    <row r="491" ht="12.75" customHeight="1">
      <c r="G491" s="8"/>
    </row>
    <row r="492" ht="12.75" customHeight="1">
      <c r="G492" s="8"/>
    </row>
    <row r="493" ht="12.75" customHeight="1">
      <c r="G493" s="8"/>
    </row>
    <row r="494" ht="12.75" customHeight="1">
      <c r="G494" s="8"/>
    </row>
    <row r="495" ht="12.75" customHeight="1">
      <c r="G495" s="8"/>
    </row>
    <row r="496" ht="12.75" customHeight="1">
      <c r="G496" s="8"/>
    </row>
    <row r="497" ht="12.75" customHeight="1">
      <c r="G497" s="8"/>
    </row>
    <row r="498" ht="12.75" customHeight="1">
      <c r="G498" s="8"/>
    </row>
    <row r="499" ht="12.75" customHeight="1">
      <c r="G499" s="8"/>
    </row>
    <row r="500" ht="12.75" customHeight="1">
      <c r="G500" s="8"/>
    </row>
    <row r="501" ht="12.75" customHeight="1">
      <c r="G501" s="8"/>
    </row>
    <row r="502" ht="12.75" customHeight="1">
      <c r="G502" s="8"/>
    </row>
    <row r="503" ht="12.75" customHeight="1">
      <c r="G503" s="8"/>
    </row>
    <row r="504" ht="12.75" customHeight="1">
      <c r="G504" s="8"/>
    </row>
    <row r="505" ht="12.75" customHeight="1">
      <c r="G505" s="8"/>
    </row>
    <row r="506" ht="12.75" customHeight="1">
      <c r="G506" s="8"/>
    </row>
    <row r="507" ht="12.75" customHeight="1">
      <c r="G507" s="8"/>
    </row>
    <row r="508" ht="12.75" customHeight="1">
      <c r="G508" s="8"/>
    </row>
    <row r="509" ht="12.75" customHeight="1">
      <c r="G509" s="8"/>
    </row>
    <row r="510" ht="12.75" customHeight="1">
      <c r="G510" s="8"/>
    </row>
    <row r="511" ht="12.75" customHeight="1">
      <c r="G511" s="8"/>
    </row>
    <row r="512" ht="12.75" customHeight="1">
      <c r="G512" s="8"/>
    </row>
    <row r="513" ht="12.75" customHeight="1">
      <c r="G513" s="8"/>
    </row>
    <row r="514" ht="12.75" customHeight="1">
      <c r="G514" s="8"/>
    </row>
    <row r="515" ht="12.75" customHeight="1">
      <c r="G515" s="8"/>
    </row>
    <row r="516" ht="12.75" customHeight="1">
      <c r="G516" s="8"/>
    </row>
    <row r="517" ht="12.75" customHeight="1">
      <c r="G517" s="8"/>
    </row>
    <row r="518" ht="12.75" customHeight="1">
      <c r="G518" s="8"/>
    </row>
    <row r="519" ht="12.75" customHeight="1">
      <c r="G519" s="8"/>
    </row>
    <row r="520" ht="12.75" customHeight="1">
      <c r="G520" s="8"/>
    </row>
    <row r="521" ht="12.75" customHeight="1">
      <c r="G521" s="8"/>
    </row>
    <row r="522" ht="12.75" customHeight="1">
      <c r="G522" s="8"/>
    </row>
    <row r="523" ht="12.75" customHeight="1">
      <c r="G523" s="8"/>
    </row>
    <row r="524" ht="12.75" customHeight="1">
      <c r="G524" s="8"/>
    </row>
    <row r="525" ht="12.75" customHeight="1">
      <c r="G525" s="8"/>
    </row>
    <row r="526" ht="12.75" customHeight="1">
      <c r="G526" s="8"/>
    </row>
    <row r="527" ht="12.75" customHeight="1">
      <c r="G527" s="8"/>
    </row>
    <row r="528" ht="12.75" customHeight="1">
      <c r="G528" s="8"/>
    </row>
    <row r="529" ht="12.75" customHeight="1">
      <c r="G529" s="8"/>
    </row>
    <row r="530" ht="12.75" customHeight="1">
      <c r="G530" s="8"/>
    </row>
    <row r="531" ht="12.75" customHeight="1">
      <c r="G531" s="8"/>
    </row>
    <row r="532" ht="12.75" customHeight="1">
      <c r="G532" s="8"/>
    </row>
    <row r="533" ht="12.75" customHeight="1">
      <c r="G533" s="8"/>
    </row>
    <row r="534" ht="12.75" customHeight="1">
      <c r="G534" s="8"/>
    </row>
    <row r="535" ht="12.75" customHeight="1">
      <c r="G535" s="8"/>
    </row>
    <row r="536" ht="12.75" customHeight="1">
      <c r="G536" s="8"/>
    </row>
    <row r="537" ht="12.75" customHeight="1">
      <c r="G537" s="8"/>
    </row>
    <row r="538" ht="12.75" customHeight="1">
      <c r="G538" s="8"/>
    </row>
    <row r="539" ht="12.75" customHeight="1">
      <c r="G539" s="8"/>
    </row>
    <row r="540" ht="12.75" customHeight="1">
      <c r="G540" s="8"/>
    </row>
    <row r="541" ht="12.75" customHeight="1">
      <c r="G541" s="8"/>
    </row>
    <row r="542" ht="12.75" customHeight="1">
      <c r="G542" s="8"/>
    </row>
    <row r="543" ht="12.75" customHeight="1">
      <c r="G543" s="8"/>
    </row>
    <row r="544" ht="12.75" customHeight="1">
      <c r="G544" s="8"/>
    </row>
    <row r="545" ht="12.75" customHeight="1">
      <c r="G545" s="8"/>
    </row>
    <row r="546" ht="12.75" customHeight="1">
      <c r="G546" s="8"/>
    </row>
    <row r="547" ht="12.75" customHeight="1">
      <c r="G547" s="8"/>
    </row>
    <row r="548" ht="12.75" customHeight="1">
      <c r="G548" s="8"/>
    </row>
    <row r="549" ht="12.75" customHeight="1">
      <c r="G549" s="8"/>
    </row>
    <row r="550" ht="12.75" customHeight="1">
      <c r="G550" s="8"/>
    </row>
    <row r="551" ht="12.75" customHeight="1">
      <c r="G551" s="8"/>
    </row>
    <row r="552" ht="12.75" customHeight="1">
      <c r="G552" s="8"/>
    </row>
    <row r="553" ht="12.75" customHeight="1">
      <c r="G553" s="8"/>
    </row>
    <row r="554" ht="12.75" customHeight="1">
      <c r="G554" s="8"/>
    </row>
    <row r="555" ht="12.75" customHeight="1">
      <c r="G555" s="8"/>
    </row>
    <row r="556" ht="12.75" customHeight="1">
      <c r="G556" s="8"/>
    </row>
    <row r="557" ht="12.75" customHeight="1">
      <c r="G557" s="8"/>
    </row>
    <row r="558" ht="12.75" customHeight="1">
      <c r="G558" s="8"/>
    </row>
    <row r="559" ht="12.75" customHeight="1">
      <c r="G559" s="8"/>
    </row>
    <row r="560" ht="12.75" customHeight="1">
      <c r="G560" s="8"/>
    </row>
    <row r="561" ht="12.75" customHeight="1">
      <c r="G561" s="8"/>
    </row>
    <row r="562" ht="12.75" customHeight="1">
      <c r="G562" s="8"/>
    </row>
    <row r="563" ht="12.75" customHeight="1">
      <c r="G563" s="8"/>
    </row>
    <row r="564" ht="12.75" customHeight="1">
      <c r="G564" s="8"/>
    </row>
    <row r="565" ht="12.75" customHeight="1">
      <c r="G565" s="8"/>
    </row>
    <row r="566" ht="12.75" customHeight="1">
      <c r="G566" s="8"/>
    </row>
    <row r="567" ht="12.75" customHeight="1">
      <c r="G567" s="8"/>
    </row>
    <row r="568" ht="12.75" customHeight="1">
      <c r="G568" s="8"/>
    </row>
    <row r="569" ht="12.75" customHeight="1">
      <c r="G569" s="8"/>
    </row>
    <row r="570" ht="12.75" customHeight="1">
      <c r="G570" s="8"/>
    </row>
    <row r="571" ht="12.75" customHeight="1">
      <c r="G571" s="8"/>
    </row>
    <row r="572" ht="12.75" customHeight="1">
      <c r="G572" s="8"/>
    </row>
    <row r="573" ht="12.75" customHeight="1">
      <c r="G573" s="8"/>
    </row>
    <row r="574" ht="12.75" customHeight="1">
      <c r="G574" s="8"/>
    </row>
    <row r="575" ht="12.75" customHeight="1">
      <c r="G575" s="8"/>
    </row>
    <row r="576" ht="12.75" customHeight="1">
      <c r="G576" s="8"/>
    </row>
    <row r="577" ht="12.75" customHeight="1">
      <c r="G577" s="8"/>
    </row>
    <row r="578" ht="12.75" customHeight="1">
      <c r="G578" s="8"/>
    </row>
    <row r="579" ht="12.75" customHeight="1">
      <c r="G579" s="8"/>
    </row>
    <row r="580" ht="12.75" customHeight="1">
      <c r="G580" s="8"/>
    </row>
    <row r="581" ht="12.75" customHeight="1">
      <c r="G581" s="8"/>
    </row>
    <row r="582" ht="12.75" customHeight="1">
      <c r="G582" s="8"/>
    </row>
    <row r="583" ht="12.75" customHeight="1">
      <c r="G583" s="8"/>
    </row>
    <row r="584" ht="12.75" customHeight="1">
      <c r="G584" s="8"/>
    </row>
    <row r="585" ht="12.75" customHeight="1">
      <c r="G585" s="8"/>
    </row>
    <row r="586" ht="12.75" customHeight="1">
      <c r="G586" s="8"/>
    </row>
    <row r="587" ht="12.75" customHeight="1">
      <c r="G587" s="8"/>
    </row>
    <row r="588" ht="12.75" customHeight="1">
      <c r="G588" s="8"/>
    </row>
    <row r="589" ht="12.75" customHeight="1">
      <c r="G589" s="8"/>
    </row>
    <row r="590" ht="12.75" customHeight="1">
      <c r="G590" s="8"/>
    </row>
    <row r="591" ht="12.75" customHeight="1">
      <c r="G591" s="8"/>
    </row>
    <row r="592" ht="12.75" customHeight="1">
      <c r="G592" s="8"/>
    </row>
    <row r="593" ht="12.75" customHeight="1">
      <c r="G593" s="8"/>
    </row>
    <row r="594" ht="12.75" customHeight="1">
      <c r="G594" s="8"/>
    </row>
    <row r="595" ht="12.75" customHeight="1">
      <c r="G595" s="8"/>
    </row>
    <row r="596" ht="12.75" customHeight="1">
      <c r="G596" s="8"/>
    </row>
    <row r="597" ht="12.75" customHeight="1">
      <c r="G597" s="8"/>
    </row>
    <row r="598" ht="12.75" customHeight="1">
      <c r="G598" s="8"/>
    </row>
    <row r="599" ht="12.75" customHeight="1">
      <c r="G599" s="8"/>
    </row>
    <row r="600" ht="12.75" customHeight="1">
      <c r="G600" s="8"/>
    </row>
    <row r="601" ht="12.75" customHeight="1">
      <c r="G601" s="8"/>
    </row>
    <row r="602" ht="12.75" customHeight="1">
      <c r="G602" s="8"/>
    </row>
    <row r="603" ht="12.75" customHeight="1">
      <c r="G603" s="8"/>
    </row>
    <row r="604" ht="12.75" customHeight="1">
      <c r="G604" s="8"/>
    </row>
    <row r="605" ht="12.75" customHeight="1">
      <c r="G605" s="8"/>
    </row>
    <row r="606" ht="12.75" customHeight="1">
      <c r="G606" s="8"/>
    </row>
    <row r="607" ht="12.75" customHeight="1">
      <c r="G607" s="8"/>
    </row>
    <row r="608" ht="12.75" customHeight="1">
      <c r="G608" s="8"/>
    </row>
    <row r="609" ht="12.75" customHeight="1">
      <c r="G609" s="8"/>
    </row>
    <row r="610" ht="12.75" customHeight="1">
      <c r="G610" s="8"/>
    </row>
    <row r="611" ht="12.75" customHeight="1">
      <c r="G611" s="8"/>
    </row>
    <row r="612" ht="12.75" customHeight="1">
      <c r="G612" s="8"/>
    </row>
    <row r="613" ht="12.75" customHeight="1">
      <c r="G613" s="8"/>
    </row>
    <row r="614" ht="12.75" customHeight="1">
      <c r="G614" s="8"/>
    </row>
    <row r="615" ht="12.75" customHeight="1">
      <c r="G615" s="8"/>
    </row>
    <row r="616" ht="12.75" customHeight="1">
      <c r="G616" s="8"/>
    </row>
    <row r="617" ht="12.75" customHeight="1">
      <c r="G617" s="8"/>
    </row>
    <row r="618" ht="12.75" customHeight="1">
      <c r="G618" s="8"/>
    </row>
    <row r="619" ht="12.75" customHeight="1">
      <c r="G619" s="8"/>
    </row>
    <row r="620" ht="12.75" customHeight="1">
      <c r="G620" s="8"/>
    </row>
    <row r="621" ht="12.75" customHeight="1">
      <c r="G621" s="8"/>
    </row>
    <row r="622" ht="12.75" customHeight="1">
      <c r="G622" s="8"/>
    </row>
    <row r="623" ht="12.75" customHeight="1">
      <c r="G623" s="8"/>
    </row>
    <row r="624" ht="12.75" customHeight="1">
      <c r="G624" s="8"/>
    </row>
    <row r="625" ht="12.75" customHeight="1">
      <c r="G625" s="8"/>
    </row>
    <row r="626" ht="12.75" customHeight="1">
      <c r="G626" s="8"/>
    </row>
    <row r="627" ht="12.75" customHeight="1">
      <c r="G627" s="8"/>
    </row>
    <row r="628" ht="12.75" customHeight="1">
      <c r="G628" s="8"/>
    </row>
    <row r="629" ht="12.75" customHeight="1">
      <c r="G629" s="8"/>
    </row>
    <row r="630" ht="12.75" customHeight="1">
      <c r="G630" s="8"/>
    </row>
    <row r="631" ht="12.75" customHeight="1">
      <c r="G631" s="8"/>
    </row>
    <row r="632" ht="12.75" customHeight="1">
      <c r="G632" s="8"/>
    </row>
    <row r="633" ht="12.75" customHeight="1">
      <c r="G633" s="8"/>
    </row>
    <row r="634" ht="12.75" customHeight="1">
      <c r="G634" s="8"/>
    </row>
    <row r="635" ht="12.75" customHeight="1">
      <c r="G635" s="8"/>
    </row>
    <row r="636" ht="12.75" customHeight="1">
      <c r="G636" s="8"/>
    </row>
    <row r="637" ht="12.75" customHeight="1">
      <c r="G637" s="8"/>
    </row>
    <row r="638" ht="12.75" customHeight="1">
      <c r="G638" s="8"/>
    </row>
    <row r="639" ht="12.75" customHeight="1">
      <c r="G639" s="8"/>
    </row>
    <row r="640" ht="12.75" customHeight="1">
      <c r="G640" s="8"/>
    </row>
    <row r="641" ht="12.75" customHeight="1">
      <c r="G641" s="8"/>
    </row>
    <row r="642" ht="12.75" customHeight="1">
      <c r="G642" s="8"/>
    </row>
    <row r="643" ht="12.75" customHeight="1">
      <c r="G643" s="8"/>
    </row>
    <row r="644" ht="12.75" customHeight="1">
      <c r="G644" s="8"/>
    </row>
    <row r="645" ht="12.75" customHeight="1">
      <c r="G645" s="8"/>
    </row>
    <row r="646" ht="12.75" customHeight="1">
      <c r="G646" s="8"/>
    </row>
    <row r="647" ht="12.75" customHeight="1">
      <c r="G647" s="8"/>
    </row>
    <row r="648" ht="12.75" customHeight="1">
      <c r="G648" s="8"/>
    </row>
    <row r="649" ht="12.75" customHeight="1">
      <c r="G649" s="8"/>
    </row>
    <row r="650" ht="12.75" customHeight="1">
      <c r="G650" s="8"/>
    </row>
    <row r="651" ht="12.75" customHeight="1">
      <c r="G651" s="8"/>
    </row>
    <row r="652" ht="12.75" customHeight="1">
      <c r="G652" s="8"/>
    </row>
    <row r="653" ht="12.75" customHeight="1">
      <c r="G653" s="8"/>
    </row>
    <row r="654" ht="12.75" customHeight="1">
      <c r="G654" s="8"/>
    </row>
    <row r="655" ht="12.75" customHeight="1">
      <c r="G655" s="8"/>
    </row>
    <row r="656" ht="12.75" customHeight="1">
      <c r="G656" s="8"/>
    </row>
    <row r="657" ht="12.75" customHeight="1">
      <c r="G657" s="8"/>
    </row>
    <row r="658" ht="12.75" customHeight="1">
      <c r="G658" s="8"/>
    </row>
    <row r="659" ht="12.75" customHeight="1">
      <c r="G659" s="8"/>
    </row>
    <row r="660" ht="12.75" customHeight="1">
      <c r="G660" s="8"/>
    </row>
    <row r="661" ht="12.75" customHeight="1">
      <c r="G661" s="8"/>
    </row>
    <row r="662" ht="12.75" customHeight="1">
      <c r="G662" s="8"/>
    </row>
    <row r="663" ht="12.75" customHeight="1">
      <c r="G663" s="8"/>
    </row>
    <row r="664" ht="12.75" customHeight="1">
      <c r="G664" s="8"/>
    </row>
    <row r="665" ht="12.75" customHeight="1">
      <c r="G665" s="8"/>
    </row>
    <row r="666" ht="12.75" customHeight="1">
      <c r="G666" s="8"/>
    </row>
    <row r="667" ht="12.75" customHeight="1">
      <c r="G667" s="8"/>
    </row>
    <row r="668" ht="12.75" customHeight="1">
      <c r="G668" s="8"/>
    </row>
    <row r="669" ht="12.75" customHeight="1">
      <c r="G669" s="8"/>
    </row>
    <row r="670" ht="12.75" customHeight="1">
      <c r="G670" s="8"/>
    </row>
    <row r="671" ht="12.75" customHeight="1">
      <c r="G671" s="8"/>
    </row>
    <row r="672" ht="12.75" customHeight="1">
      <c r="G672" s="8"/>
    </row>
    <row r="673" ht="12.75" customHeight="1">
      <c r="G673" s="8"/>
    </row>
    <row r="674" ht="12.75" customHeight="1">
      <c r="G674" s="8"/>
    </row>
    <row r="675" ht="12.75" customHeight="1">
      <c r="G675" s="8"/>
    </row>
    <row r="676" ht="12.75" customHeight="1">
      <c r="G676" s="8"/>
    </row>
    <row r="677" ht="12.75" customHeight="1">
      <c r="G677" s="8"/>
    </row>
    <row r="678" ht="12.75" customHeight="1">
      <c r="G678" s="8"/>
    </row>
    <row r="679" ht="12.75" customHeight="1">
      <c r="G679" s="8"/>
    </row>
    <row r="680" ht="12.75" customHeight="1">
      <c r="G680" s="8"/>
    </row>
    <row r="681" ht="12.75" customHeight="1">
      <c r="G681" s="8"/>
    </row>
    <row r="682" ht="12.75" customHeight="1">
      <c r="G682" s="8"/>
    </row>
    <row r="683" ht="12.75" customHeight="1">
      <c r="G683" s="8"/>
    </row>
    <row r="684" ht="12.75" customHeight="1">
      <c r="G684" s="8"/>
    </row>
    <row r="685" ht="12.75" customHeight="1">
      <c r="G685" s="8"/>
    </row>
    <row r="686" ht="12.75" customHeight="1">
      <c r="G686" s="8"/>
    </row>
    <row r="687" ht="12.75" customHeight="1">
      <c r="G687" s="8"/>
    </row>
    <row r="688" ht="12.75" customHeight="1">
      <c r="G688" s="8"/>
    </row>
    <row r="689" ht="12.75" customHeight="1">
      <c r="G689" s="8"/>
    </row>
    <row r="690" ht="12.75" customHeight="1">
      <c r="G690" s="8"/>
    </row>
    <row r="691" ht="12.75" customHeight="1">
      <c r="G691" s="8"/>
    </row>
    <row r="692" ht="12.75" customHeight="1">
      <c r="G692" s="8"/>
    </row>
    <row r="693" ht="12.75" customHeight="1">
      <c r="G693" s="8"/>
    </row>
    <row r="694" ht="12.75" customHeight="1">
      <c r="G694" s="8"/>
    </row>
    <row r="695" ht="12.75" customHeight="1">
      <c r="G695" s="8"/>
    </row>
    <row r="696" ht="12.75" customHeight="1">
      <c r="G696" s="8"/>
    </row>
    <row r="697" ht="12.75" customHeight="1">
      <c r="G697" s="8"/>
    </row>
    <row r="698" ht="12.75" customHeight="1">
      <c r="G698" s="8"/>
    </row>
    <row r="699" ht="12.75" customHeight="1">
      <c r="G699" s="8"/>
    </row>
    <row r="700" ht="12.75" customHeight="1">
      <c r="G700" s="8"/>
    </row>
    <row r="701" ht="12.75" customHeight="1">
      <c r="G701" s="8"/>
    </row>
    <row r="702" ht="12.75" customHeight="1">
      <c r="G702" s="8"/>
    </row>
    <row r="703" ht="12.75" customHeight="1">
      <c r="G703" s="8"/>
    </row>
    <row r="704" ht="12.75" customHeight="1">
      <c r="G704" s="8"/>
    </row>
    <row r="705" ht="12.75" customHeight="1">
      <c r="G705" s="8"/>
    </row>
    <row r="706" ht="12.75" customHeight="1">
      <c r="G706" s="8"/>
    </row>
    <row r="707" ht="12.75" customHeight="1">
      <c r="G707" s="8"/>
    </row>
    <row r="708" ht="12.75" customHeight="1">
      <c r="G708" s="8"/>
    </row>
    <row r="709" ht="12.75" customHeight="1">
      <c r="G709" s="8"/>
    </row>
    <row r="710" ht="12.75" customHeight="1">
      <c r="G710" s="8"/>
    </row>
    <row r="711" ht="12.75" customHeight="1">
      <c r="G711" s="8"/>
    </row>
    <row r="712" ht="12.75" customHeight="1">
      <c r="G712" s="8"/>
    </row>
    <row r="713" ht="12.75" customHeight="1">
      <c r="G713" s="8"/>
    </row>
    <row r="714" ht="12.75" customHeight="1">
      <c r="G714" s="8"/>
    </row>
    <row r="715" ht="12.75" customHeight="1">
      <c r="G715" s="8"/>
    </row>
    <row r="716" ht="12.75" customHeight="1">
      <c r="G716" s="8"/>
    </row>
    <row r="717" ht="12.75" customHeight="1">
      <c r="G717" s="8"/>
    </row>
    <row r="718" ht="12.75" customHeight="1">
      <c r="G718" s="8"/>
    </row>
    <row r="719" ht="12.75" customHeight="1">
      <c r="G719" s="8"/>
    </row>
    <row r="720" ht="12.75" customHeight="1">
      <c r="G720" s="8"/>
    </row>
    <row r="721" ht="12.75" customHeight="1">
      <c r="G721" s="8"/>
    </row>
    <row r="722" ht="12.75" customHeight="1">
      <c r="G722" s="8"/>
    </row>
    <row r="723" ht="12.75" customHeight="1">
      <c r="G723" s="8"/>
    </row>
    <row r="724" ht="12.75" customHeight="1">
      <c r="G724" s="8"/>
    </row>
    <row r="725" ht="12.75" customHeight="1">
      <c r="G725" s="8"/>
    </row>
    <row r="726" ht="12.75" customHeight="1">
      <c r="G726" s="8"/>
    </row>
    <row r="727" ht="12.75" customHeight="1">
      <c r="G727" s="8"/>
    </row>
    <row r="728" ht="12.75" customHeight="1">
      <c r="G728" s="8"/>
    </row>
    <row r="729" ht="12.75" customHeight="1">
      <c r="G729" s="8"/>
    </row>
    <row r="730" ht="12.75" customHeight="1">
      <c r="G730" s="8"/>
    </row>
    <row r="731" ht="12.75" customHeight="1">
      <c r="G731" s="8"/>
    </row>
    <row r="732" ht="12.75" customHeight="1">
      <c r="G732" s="8"/>
    </row>
    <row r="733" ht="12.75" customHeight="1">
      <c r="G733" s="8"/>
    </row>
    <row r="734" ht="12.75" customHeight="1">
      <c r="G734" s="8"/>
    </row>
    <row r="735" ht="12.75" customHeight="1">
      <c r="G735" s="8"/>
    </row>
    <row r="736" ht="12.75" customHeight="1">
      <c r="G736" s="8"/>
    </row>
    <row r="737" ht="12.75" customHeight="1">
      <c r="G737" s="8"/>
    </row>
    <row r="738" ht="12.75" customHeight="1">
      <c r="G738" s="8"/>
    </row>
    <row r="739" ht="12.75" customHeight="1">
      <c r="G739" s="8"/>
    </row>
    <row r="740" ht="12.75" customHeight="1">
      <c r="G740" s="8"/>
    </row>
    <row r="741" ht="12.75" customHeight="1">
      <c r="G741" s="8"/>
    </row>
    <row r="742" ht="12.75" customHeight="1">
      <c r="G742" s="8"/>
    </row>
    <row r="743" ht="12.75" customHeight="1">
      <c r="G743" s="8"/>
    </row>
    <row r="744" ht="12.75" customHeight="1">
      <c r="G744" s="8"/>
    </row>
    <row r="745" ht="12.75" customHeight="1">
      <c r="G745" s="8"/>
    </row>
    <row r="746" ht="12.75" customHeight="1">
      <c r="G746" s="8"/>
    </row>
    <row r="747" ht="12.75" customHeight="1">
      <c r="G747" s="8"/>
    </row>
    <row r="748" ht="12.75" customHeight="1">
      <c r="G748" s="8"/>
    </row>
    <row r="749" ht="12.75" customHeight="1">
      <c r="G749" s="8"/>
    </row>
    <row r="750" ht="12.75" customHeight="1">
      <c r="G750" s="8"/>
    </row>
    <row r="751" ht="12.75" customHeight="1">
      <c r="G751" s="8"/>
    </row>
    <row r="752" ht="12.75" customHeight="1">
      <c r="G752" s="8"/>
    </row>
    <row r="753" ht="12.75" customHeight="1">
      <c r="G753" s="8"/>
    </row>
    <row r="754" ht="12.75" customHeight="1">
      <c r="G754" s="8"/>
    </row>
    <row r="755" ht="12.75" customHeight="1">
      <c r="G755" s="8"/>
    </row>
    <row r="756" ht="12.75" customHeight="1">
      <c r="G756" s="8"/>
    </row>
    <row r="757" ht="12.75" customHeight="1">
      <c r="G757" s="8"/>
    </row>
    <row r="758" ht="12.75" customHeight="1">
      <c r="G758" s="8"/>
    </row>
    <row r="759" ht="12.75" customHeight="1">
      <c r="G759" s="8"/>
    </row>
    <row r="760" ht="12.75" customHeight="1">
      <c r="G760" s="8"/>
    </row>
    <row r="761" ht="12.75" customHeight="1">
      <c r="G761" s="8"/>
    </row>
    <row r="762" ht="12.75" customHeight="1">
      <c r="G762" s="8"/>
    </row>
    <row r="763" ht="12.75" customHeight="1">
      <c r="G763" s="8"/>
    </row>
    <row r="764" ht="12.75" customHeight="1">
      <c r="G764" s="8"/>
    </row>
    <row r="765" ht="12.75" customHeight="1">
      <c r="G765" s="8"/>
    </row>
    <row r="766" ht="12.75" customHeight="1">
      <c r="G766" s="8"/>
    </row>
    <row r="767" ht="12.75" customHeight="1">
      <c r="G767" s="8"/>
    </row>
    <row r="768" ht="12.75" customHeight="1">
      <c r="G768" s="8"/>
    </row>
    <row r="769" ht="12.75" customHeight="1">
      <c r="G769" s="8"/>
    </row>
    <row r="770" ht="12.75" customHeight="1">
      <c r="G770" s="8"/>
    </row>
    <row r="771" ht="12.75" customHeight="1">
      <c r="G771" s="8"/>
    </row>
    <row r="772" ht="12.75" customHeight="1">
      <c r="G772" s="8"/>
    </row>
    <row r="773" ht="12.75" customHeight="1">
      <c r="G773" s="8"/>
    </row>
    <row r="774" ht="12.75" customHeight="1">
      <c r="G774" s="8"/>
    </row>
    <row r="775" ht="12.75" customHeight="1">
      <c r="G775" s="8"/>
    </row>
    <row r="776" ht="12.75" customHeight="1">
      <c r="G776" s="8"/>
    </row>
    <row r="777" ht="12.75" customHeight="1">
      <c r="G777" s="8"/>
    </row>
    <row r="778" ht="12.75" customHeight="1">
      <c r="G778" s="8"/>
    </row>
    <row r="779" ht="12.75" customHeight="1">
      <c r="G779" s="8"/>
    </row>
    <row r="780" ht="12.75" customHeight="1">
      <c r="G780" s="8"/>
    </row>
    <row r="781" ht="12.75" customHeight="1">
      <c r="G781" s="8"/>
    </row>
    <row r="782" ht="12.75" customHeight="1">
      <c r="G782" s="8"/>
    </row>
    <row r="783" ht="12.75" customHeight="1">
      <c r="G783" s="8"/>
    </row>
    <row r="784" ht="12.75" customHeight="1">
      <c r="G784" s="8"/>
    </row>
    <row r="785" ht="12.75" customHeight="1">
      <c r="G785" s="8"/>
    </row>
    <row r="786" ht="12.75" customHeight="1">
      <c r="G786" s="8"/>
    </row>
    <row r="787" ht="12.75" customHeight="1">
      <c r="G787" s="8"/>
    </row>
    <row r="788" ht="12.75" customHeight="1">
      <c r="G788" s="8"/>
    </row>
    <row r="789" ht="12.75" customHeight="1">
      <c r="G789" s="8"/>
    </row>
    <row r="790" ht="12.75" customHeight="1">
      <c r="G790" s="8"/>
    </row>
    <row r="791" ht="12.75" customHeight="1">
      <c r="G791" s="8"/>
    </row>
    <row r="792" ht="12.75" customHeight="1">
      <c r="G792" s="8"/>
    </row>
    <row r="793" ht="12.75" customHeight="1">
      <c r="G793" s="8"/>
    </row>
    <row r="794" ht="12.75" customHeight="1">
      <c r="G794" s="8"/>
    </row>
    <row r="795" ht="12.75" customHeight="1">
      <c r="G795" s="8"/>
    </row>
    <row r="796" ht="12.75" customHeight="1">
      <c r="G796" s="8"/>
    </row>
    <row r="797" ht="12.75" customHeight="1">
      <c r="G797" s="8"/>
    </row>
    <row r="798" ht="12.75" customHeight="1">
      <c r="G798" s="8"/>
    </row>
    <row r="799" ht="12.75" customHeight="1">
      <c r="G799" s="8"/>
    </row>
    <row r="800" ht="12.75" customHeight="1">
      <c r="G800" s="8"/>
    </row>
    <row r="801" ht="12.75" customHeight="1">
      <c r="G801" s="8"/>
    </row>
    <row r="802" ht="12.75" customHeight="1">
      <c r="G802" s="8"/>
    </row>
    <row r="803" ht="12.75" customHeight="1">
      <c r="G803" s="8"/>
    </row>
    <row r="804" ht="12.75" customHeight="1">
      <c r="G804" s="8"/>
    </row>
    <row r="805" ht="12.75" customHeight="1">
      <c r="G805" s="8"/>
    </row>
    <row r="806" ht="12.75" customHeight="1">
      <c r="G806" s="8"/>
    </row>
    <row r="807" ht="12.75" customHeight="1">
      <c r="G807" s="8"/>
    </row>
    <row r="808" ht="12.75" customHeight="1">
      <c r="G808" s="8"/>
    </row>
    <row r="809" ht="12.75" customHeight="1">
      <c r="G809" s="8"/>
    </row>
    <row r="810" ht="12.75" customHeight="1">
      <c r="G810" s="8"/>
    </row>
    <row r="811" ht="12.75" customHeight="1">
      <c r="G811" s="8"/>
    </row>
    <row r="812" ht="12.75" customHeight="1">
      <c r="G812" s="8"/>
    </row>
    <row r="813" ht="12.75" customHeight="1">
      <c r="G813" s="8"/>
    </row>
    <row r="814" ht="12.75" customHeight="1">
      <c r="G814" s="8"/>
    </row>
    <row r="815" ht="12.75" customHeight="1">
      <c r="G815" s="8"/>
    </row>
    <row r="816" ht="12.75" customHeight="1">
      <c r="G816" s="8"/>
    </row>
    <row r="817" ht="12.75" customHeight="1">
      <c r="G817" s="8"/>
    </row>
    <row r="818" ht="12.75" customHeight="1">
      <c r="G818" s="8"/>
    </row>
    <row r="819" ht="12.75" customHeight="1">
      <c r="G819" s="8"/>
    </row>
    <row r="820" ht="12.75" customHeight="1">
      <c r="G820" s="8"/>
    </row>
    <row r="821" ht="12.75" customHeight="1">
      <c r="G821" s="8"/>
    </row>
    <row r="822" ht="12.75" customHeight="1">
      <c r="G822" s="8"/>
    </row>
    <row r="823" ht="12.75" customHeight="1">
      <c r="G823" s="8"/>
    </row>
    <row r="824" ht="12.75" customHeight="1">
      <c r="G824" s="8"/>
    </row>
    <row r="825" ht="12.75" customHeight="1">
      <c r="G825" s="8"/>
    </row>
    <row r="826" ht="12.75" customHeight="1">
      <c r="G826" s="8"/>
    </row>
    <row r="827" ht="12.75" customHeight="1">
      <c r="G827" s="8"/>
    </row>
    <row r="828" ht="12.75" customHeight="1">
      <c r="G828" s="8"/>
    </row>
    <row r="829" ht="12.75" customHeight="1">
      <c r="G829" s="8"/>
    </row>
    <row r="830" ht="12.75" customHeight="1">
      <c r="G830" s="8"/>
    </row>
    <row r="831" ht="12.75" customHeight="1">
      <c r="G831" s="8"/>
    </row>
    <row r="832" ht="12.75" customHeight="1">
      <c r="G832" s="8"/>
    </row>
    <row r="833" ht="12.75" customHeight="1">
      <c r="G833" s="8"/>
    </row>
    <row r="834" ht="12.75" customHeight="1">
      <c r="G834" s="8"/>
    </row>
    <row r="835" ht="12.75" customHeight="1">
      <c r="G835" s="8"/>
    </row>
    <row r="836" ht="12.75" customHeight="1">
      <c r="G836" s="8"/>
    </row>
    <row r="837" ht="12.75" customHeight="1">
      <c r="G837" s="8"/>
    </row>
    <row r="838" ht="12.75" customHeight="1">
      <c r="G838" s="8"/>
    </row>
    <row r="839" ht="12.75" customHeight="1">
      <c r="G839" s="8"/>
    </row>
    <row r="840" ht="12.75" customHeight="1">
      <c r="G840" s="8"/>
    </row>
    <row r="841" ht="12.75" customHeight="1">
      <c r="G841" s="8"/>
    </row>
    <row r="842" ht="12.75" customHeight="1">
      <c r="G842" s="8"/>
    </row>
    <row r="843" ht="12.75" customHeight="1">
      <c r="G843" s="8"/>
    </row>
    <row r="844" ht="12.75" customHeight="1">
      <c r="G844" s="8"/>
    </row>
    <row r="845" ht="12.75" customHeight="1">
      <c r="G845" s="8"/>
    </row>
    <row r="846" ht="12.75" customHeight="1">
      <c r="G846" s="8"/>
    </row>
    <row r="847" ht="12.75" customHeight="1">
      <c r="G847" s="8"/>
    </row>
    <row r="848" ht="12.75" customHeight="1">
      <c r="G848" s="8"/>
    </row>
    <row r="849" ht="12.75" customHeight="1">
      <c r="G849" s="8"/>
    </row>
    <row r="850" ht="12.75" customHeight="1">
      <c r="G850" s="8"/>
    </row>
    <row r="851" ht="12.75" customHeight="1">
      <c r="G851" s="8"/>
    </row>
    <row r="852" ht="12.75" customHeight="1">
      <c r="G852" s="8"/>
    </row>
    <row r="853" ht="12.75" customHeight="1">
      <c r="G853" s="8"/>
    </row>
    <row r="854" ht="12.75" customHeight="1">
      <c r="G854" s="8"/>
    </row>
    <row r="855" ht="12.75" customHeight="1">
      <c r="G855" s="8"/>
    </row>
    <row r="856" ht="12.75" customHeight="1">
      <c r="G856" s="8"/>
    </row>
    <row r="857" ht="12.75" customHeight="1">
      <c r="G857" s="8"/>
    </row>
    <row r="858" ht="12.75" customHeight="1">
      <c r="G858" s="8"/>
    </row>
    <row r="859" ht="12.75" customHeight="1">
      <c r="G859" s="8"/>
    </row>
    <row r="860" ht="12.75" customHeight="1">
      <c r="G860" s="8"/>
    </row>
    <row r="861" ht="12.75" customHeight="1">
      <c r="G861" s="8"/>
    </row>
    <row r="862" ht="12.75" customHeight="1">
      <c r="G862" s="8"/>
    </row>
    <row r="863" ht="12.75" customHeight="1">
      <c r="G863" s="8"/>
    </row>
    <row r="864" ht="12.75" customHeight="1">
      <c r="G864" s="8"/>
    </row>
    <row r="865" ht="12.75" customHeight="1">
      <c r="G865" s="8"/>
    </row>
    <row r="866" ht="12.75" customHeight="1">
      <c r="G866" s="8"/>
    </row>
    <row r="867" ht="12.75" customHeight="1">
      <c r="G867" s="8"/>
    </row>
    <row r="868" ht="12.75" customHeight="1">
      <c r="G868" s="8"/>
    </row>
    <row r="869" ht="12.75" customHeight="1">
      <c r="G869" s="8"/>
    </row>
    <row r="870" ht="12.75" customHeight="1">
      <c r="G870" s="8"/>
    </row>
    <row r="871" ht="12.75" customHeight="1">
      <c r="G871" s="8"/>
    </row>
    <row r="872" ht="12.75" customHeight="1">
      <c r="G872" s="8"/>
    </row>
    <row r="873" ht="12.75" customHeight="1">
      <c r="G873" s="8"/>
    </row>
    <row r="874" ht="12.75" customHeight="1">
      <c r="G874" s="8"/>
    </row>
    <row r="875" ht="12.75" customHeight="1">
      <c r="G875" s="8"/>
    </row>
    <row r="876" ht="12.75" customHeight="1">
      <c r="G876" s="8"/>
    </row>
    <row r="877" ht="12.75" customHeight="1">
      <c r="G877" s="8"/>
    </row>
    <row r="878" ht="12.75" customHeight="1">
      <c r="G878" s="8"/>
    </row>
    <row r="879" ht="12.75" customHeight="1">
      <c r="G879" s="8"/>
    </row>
    <row r="880" ht="12.75" customHeight="1">
      <c r="G880" s="8"/>
    </row>
    <row r="881" ht="12.75" customHeight="1">
      <c r="G881" s="8"/>
    </row>
    <row r="882" ht="12.75" customHeight="1">
      <c r="G882" s="8"/>
    </row>
    <row r="883" ht="12.75" customHeight="1">
      <c r="G883" s="8"/>
    </row>
    <row r="884" ht="12.75" customHeight="1">
      <c r="G884" s="8"/>
    </row>
    <row r="885" ht="12.75" customHeight="1">
      <c r="G885" s="8"/>
    </row>
    <row r="886" ht="12.75" customHeight="1">
      <c r="G886" s="8"/>
    </row>
    <row r="887" ht="12.75" customHeight="1">
      <c r="G887" s="8"/>
    </row>
    <row r="888" ht="12.75" customHeight="1">
      <c r="G888" s="8"/>
    </row>
    <row r="889" ht="12.75" customHeight="1">
      <c r="G889" s="8"/>
    </row>
    <row r="890" ht="12.75" customHeight="1">
      <c r="G890" s="8"/>
    </row>
    <row r="891" ht="12.75" customHeight="1">
      <c r="G891" s="8"/>
    </row>
    <row r="892" ht="12.75" customHeight="1">
      <c r="G892" s="8"/>
    </row>
    <row r="893" ht="12.75" customHeight="1">
      <c r="G893" s="8"/>
    </row>
    <row r="894" ht="12.75" customHeight="1">
      <c r="G894" s="8"/>
    </row>
    <row r="895" ht="12.75" customHeight="1">
      <c r="G895" s="8"/>
    </row>
    <row r="896" ht="12.75" customHeight="1">
      <c r="G896" s="8"/>
    </row>
    <row r="897" ht="12.75" customHeight="1">
      <c r="G897" s="8"/>
    </row>
    <row r="898" ht="12.75" customHeight="1">
      <c r="G898" s="8"/>
    </row>
    <row r="899" ht="12.75" customHeight="1">
      <c r="G899" s="8"/>
    </row>
    <row r="900" ht="12.75" customHeight="1">
      <c r="G900" s="8"/>
    </row>
    <row r="901" ht="12.75" customHeight="1">
      <c r="G901" s="8"/>
    </row>
    <row r="902" ht="12.75" customHeight="1">
      <c r="G902" s="8"/>
    </row>
    <row r="903" ht="12.75" customHeight="1">
      <c r="G903" s="8"/>
    </row>
    <row r="904" ht="12.75" customHeight="1">
      <c r="G904" s="8"/>
    </row>
    <row r="905" ht="12.75" customHeight="1">
      <c r="G905" s="8"/>
    </row>
    <row r="906" ht="12.75" customHeight="1">
      <c r="G906" s="8"/>
    </row>
    <row r="907" ht="12.75" customHeight="1">
      <c r="G907" s="8"/>
    </row>
    <row r="908" ht="12.75" customHeight="1">
      <c r="G908" s="8"/>
    </row>
    <row r="909" ht="12.75" customHeight="1">
      <c r="G909" s="8"/>
    </row>
    <row r="910" ht="12.75" customHeight="1">
      <c r="G910" s="8"/>
    </row>
    <row r="911" ht="12.75" customHeight="1">
      <c r="G911" s="8"/>
    </row>
    <row r="912" ht="12.75" customHeight="1">
      <c r="G912" s="8"/>
    </row>
    <row r="913" ht="12.75" customHeight="1">
      <c r="G913" s="8"/>
    </row>
    <row r="914" ht="12.75" customHeight="1">
      <c r="G914" s="8"/>
    </row>
    <row r="915" ht="12.75" customHeight="1">
      <c r="G915" s="8"/>
    </row>
    <row r="916" ht="12.75" customHeight="1">
      <c r="G916" s="8"/>
    </row>
    <row r="917" ht="12.75" customHeight="1">
      <c r="G917" s="8"/>
    </row>
    <row r="918" ht="12.75" customHeight="1">
      <c r="G918" s="8"/>
    </row>
    <row r="919" ht="12.75" customHeight="1">
      <c r="G919" s="8"/>
    </row>
    <row r="920" ht="12.75" customHeight="1">
      <c r="G920" s="8"/>
    </row>
    <row r="921" ht="12.75" customHeight="1">
      <c r="G921" s="8"/>
    </row>
    <row r="922" ht="12.75" customHeight="1">
      <c r="G922" s="8"/>
    </row>
    <row r="923" ht="12.75" customHeight="1">
      <c r="G923" s="8"/>
    </row>
    <row r="924" ht="12.75" customHeight="1">
      <c r="G924" s="8"/>
    </row>
    <row r="925" ht="12.75" customHeight="1">
      <c r="G925" s="8"/>
    </row>
    <row r="926" ht="12.75" customHeight="1">
      <c r="G926" s="8"/>
    </row>
    <row r="927" ht="12.75" customHeight="1">
      <c r="G927" s="8"/>
    </row>
    <row r="928" ht="12.75" customHeight="1">
      <c r="G928" s="8"/>
    </row>
    <row r="929" ht="12.75" customHeight="1">
      <c r="G929" s="8"/>
    </row>
    <row r="930" ht="12.75" customHeight="1">
      <c r="G930" s="8"/>
    </row>
    <row r="931" ht="12.75" customHeight="1">
      <c r="G931" s="8"/>
    </row>
    <row r="932" ht="12.75" customHeight="1">
      <c r="G932" s="8"/>
    </row>
    <row r="933" ht="12.75" customHeight="1">
      <c r="G933" s="8"/>
    </row>
    <row r="934" ht="12.75" customHeight="1">
      <c r="G934" s="8"/>
    </row>
    <row r="935" ht="12.75" customHeight="1">
      <c r="G935" s="8"/>
    </row>
    <row r="936" ht="12.75" customHeight="1">
      <c r="G936" s="8"/>
    </row>
    <row r="937" ht="12.75" customHeight="1">
      <c r="G937" s="8"/>
    </row>
    <row r="938" ht="12.75" customHeight="1">
      <c r="G938" s="8"/>
    </row>
    <row r="939" ht="12.75" customHeight="1">
      <c r="G939" s="8"/>
    </row>
    <row r="940" ht="12.75" customHeight="1">
      <c r="G940" s="8"/>
    </row>
    <row r="941" ht="12.75" customHeight="1">
      <c r="G941" s="8"/>
    </row>
    <row r="942" ht="12.75" customHeight="1">
      <c r="G942" s="8"/>
    </row>
    <row r="943" ht="12.75" customHeight="1">
      <c r="G943" s="8"/>
    </row>
    <row r="944" ht="12.75" customHeight="1">
      <c r="G944" s="8"/>
    </row>
    <row r="945" ht="12.75" customHeight="1">
      <c r="G945" s="8"/>
    </row>
    <row r="946" ht="12.75" customHeight="1">
      <c r="G946" s="8"/>
    </row>
    <row r="947" ht="12.75" customHeight="1">
      <c r="G947" s="8"/>
    </row>
    <row r="948" ht="12.75" customHeight="1">
      <c r="G948" s="8"/>
    </row>
    <row r="949" ht="12.75" customHeight="1">
      <c r="G949" s="8"/>
    </row>
    <row r="950" ht="12.75" customHeight="1">
      <c r="G950" s="8"/>
    </row>
    <row r="951" ht="12.75" customHeight="1">
      <c r="G951" s="8"/>
    </row>
    <row r="952" ht="12.75" customHeight="1">
      <c r="G952" s="8"/>
    </row>
    <row r="953" ht="12.75" customHeight="1">
      <c r="G953" s="8"/>
    </row>
    <row r="954" ht="12.75" customHeight="1">
      <c r="G954" s="8"/>
    </row>
    <row r="955" ht="12.75" customHeight="1">
      <c r="G955" s="8"/>
    </row>
    <row r="956" ht="12.75" customHeight="1">
      <c r="G956" s="8"/>
    </row>
    <row r="957" ht="12.75" customHeight="1">
      <c r="G957" s="8"/>
    </row>
    <row r="958" ht="12.75" customHeight="1">
      <c r="G958" s="8"/>
    </row>
    <row r="959" ht="12.75" customHeight="1">
      <c r="G959" s="8"/>
    </row>
    <row r="960" ht="12.75" customHeight="1">
      <c r="G960" s="8"/>
    </row>
    <row r="961" ht="12.75" customHeight="1">
      <c r="G961" s="8"/>
    </row>
    <row r="962" ht="12.75" customHeight="1">
      <c r="G962" s="8"/>
    </row>
    <row r="963" ht="12.75" customHeight="1">
      <c r="G963" s="8"/>
    </row>
    <row r="964" ht="12.75" customHeight="1">
      <c r="G964" s="8"/>
    </row>
    <row r="965" ht="12.75" customHeight="1">
      <c r="G965" s="8"/>
    </row>
    <row r="966" ht="12.75" customHeight="1">
      <c r="G966" s="8"/>
    </row>
    <row r="967" ht="12.75" customHeight="1">
      <c r="G967" s="8"/>
    </row>
    <row r="968" ht="12.75" customHeight="1">
      <c r="G968" s="8"/>
    </row>
    <row r="969" ht="12.75" customHeight="1">
      <c r="G969" s="8"/>
    </row>
    <row r="970" ht="12.75" customHeight="1">
      <c r="G970" s="8"/>
    </row>
    <row r="971" ht="12.75" customHeight="1">
      <c r="G971" s="8"/>
    </row>
    <row r="972" ht="12.75" customHeight="1">
      <c r="G972" s="8"/>
    </row>
    <row r="973" ht="12.75" customHeight="1">
      <c r="G973" s="8"/>
    </row>
    <row r="974" ht="12.75" customHeight="1">
      <c r="G974" s="8"/>
    </row>
    <row r="975" ht="12.75" customHeight="1">
      <c r="G975" s="8"/>
    </row>
    <row r="976" ht="12.75" customHeight="1">
      <c r="G976" s="8"/>
    </row>
    <row r="977" ht="12.75" customHeight="1">
      <c r="G977" s="8"/>
    </row>
    <row r="978" ht="12.75" customHeight="1">
      <c r="G978" s="8"/>
    </row>
    <row r="979" ht="12.75" customHeight="1">
      <c r="G979" s="8"/>
    </row>
    <row r="980" ht="12.75" customHeight="1">
      <c r="G980" s="8"/>
    </row>
    <row r="981" ht="12.75" customHeight="1">
      <c r="G981" s="8"/>
    </row>
    <row r="982" ht="12.75" customHeight="1">
      <c r="G982" s="8"/>
    </row>
    <row r="983" ht="12.75" customHeight="1">
      <c r="G983" s="8"/>
    </row>
    <row r="984" ht="12.75" customHeight="1">
      <c r="G984" s="8"/>
    </row>
    <row r="985" ht="12.75" customHeight="1">
      <c r="G985" s="8"/>
    </row>
    <row r="986" ht="12.75" customHeight="1">
      <c r="G986" s="8"/>
    </row>
    <row r="987" ht="12.75" customHeight="1">
      <c r="G987" s="8"/>
    </row>
    <row r="988" ht="12.75" customHeight="1">
      <c r="G988" s="8"/>
    </row>
    <row r="989" ht="12.75" customHeight="1">
      <c r="G989" s="8"/>
    </row>
    <row r="990" ht="12.75" customHeight="1">
      <c r="G990" s="8"/>
    </row>
    <row r="991" ht="12.75" customHeight="1">
      <c r="G991" s="8"/>
    </row>
    <row r="992" ht="12.75" customHeight="1">
      <c r="G992" s="8"/>
    </row>
    <row r="993" ht="12.75" customHeight="1">
      <c r="G993" s="8"/>
    </row>
    <row r="994" ht="12.75" customHeight="1">
      <c r="G994" s="8"/>
    </row>
    <row r="995" ht="12.75" customHeight="1">
      <c r="G995" s="8"/>
    </row>
    <row r="996" ht="12.75" customHeight="1">
      <c r="G996" s="8"/>
    </row>
    <row r="997" ht="12.75" customHeight="1">
      <c r="G997" s="8"/>
    </row>
    <row r="998" ht="12.75" customHeight="1">
      <c r="G998" s="8"/>
    </row>
    <row r="999" ht="12.75" customHeight="1">
      <c r="G999" s="8"/>
    </row>
    <row r="1000" ht="12.75" customHeight="1">
      <c r="G1000" s="8"/>
    </row>
  </sheetData>
  <autoFilter ref="$A$2:$H$25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1.75"/>
    <col customWidth="1" min="3" max="3" width="10.75"/>
    <col customWidth="1" min="4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C6" s="12">
        <f>GETPIVOTDATA("Amount",Sheet7!$A$3,"Service","Barge Berthing (Barges Not More Than 60m LOA) - Period More Than 3 Days")+GETPIVOTDATA("Amount",Sheet7!$A$3,"Service","Wharfage (Barges not more than 60m LOA) - One Time Docking Charge")</f>
        <v>2352000</v>
      </c>
    </row>
    <row r="7" ht="12.75" customHeight="1">
      <c r="C7" s="12">
        <f>GETPIVOTDATA("Amount",Sheet7!$A$3,"Service","Export (1-Way) - For Laden Cartons and Construction Materials")+GETPIVOTDATA("Amount",Sheet7!$A$3,"Service","Export (1-Way) - For Sacks and Bags Below 100kg")+GETPIVOTDATA("Amount",Sheet7!$A$3,"Service","Transshipment (1-Way) - For Laden Cartons and Construction Materials")+GETPIVOTDATA("Amount",Sheet7!$A$3,"Service","Transshipment (1-Way) - For Sacks and Bags Below 100kg Except Rwandan Cement")</f>
        <v>2040156</v>
      </c>
    </row>
    <row r="8" ht="12.75" customHeight="1">
      <c r="C8" s="8">
        <f>GETPIVOTDATA("Amount",Sheet7!$A$3,"Service","Office")+GETPIVOTDATA("Amount",Sheet7!$A$3,"Service","Restaurant")</f>
        <v>340000</v>
      </c>
    </row>
    <row r="9" ht="12.75" customHeight="1">
      <c r="C9" s="12">
        <f>GETPIVOTDATA("Amount",Sheet7!$A$3,"Service","Truck Parking (Per 12 Hours)")</f>
        <v>1070000</v>
      </c>
    </row>
    <row r="10" ht="12.75" customHeight="1">
      <c r="A10" s="6"/>
      <c r="B10" s="7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41.13"/>
    <col customWidth="1" min="3" max="3" width="19.25"/>
    <col customWidth="1" min="4" max="4" width="13.63"/>
    <col customWidth="1" min="5" max="5" width="16.38"/>
    <col customWidth="1" min="6" max="26" width="8.0"/>
  </cols>
  <sheetData>
    <row r="1" ht="12.75" customHeight="1">
      <c r="D1" s="13"/>
      <c r="E1" s="8"/>
    </row>
    <row r="2" ht="12.75" customHeight="1">
      <c r="D2" s="13"/>
      <c r="E2" s="8"/>
    </row>
    <row r="3" ht="12.75" customHeight="1">
      <c r="D3" s="13"/>
      <c r="E3" s="8"/>
    </row>
    <row r="4" ht="12.75" customHeight="1">
      <c r="D4" s="13"/>
      <c r="E4" s="8"/>
    </row>
    <row r="5" ht="12.75" customHeight="1">
      <c r="D5" s="13"/>
      <c r="E5" s="8"/>
    </row>
    <row r="6" ht="12.75" customHeight="1">
      <c r="D6" s="13"/>
      <c r="E6" s="8"/>
    </row>
    <row r="7" ht="12.75" customHeight="1">
      <c r="D7" s="13"/>
      <c r="E7" s="8"/>
    </row>
    <row r="8" ht="12.75" customHeight="1">
      <c r="D8" s="13"/>
      <c r="E8" s="8"/>
    </row>
    <row r="9" ht="12.75" customHeight="1">
      <c r="A9" s="14" t="s">
        <v>432</v>
      </c>
      <c r="B9" s="14" t="s">
        <v>433</v>
      </c>
      <c r="C9" s="14" t="s">
        <v>434</v>
      </c>
      <c r="D9" s="14" t="s">
        <v>425</v>
      </c>
      <c r="E9" s="15" t="s">
        <v>435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9" t="s">
        <v>436</v>
      </c>
      <c r="B10" s="9" t="s">
        <v>437</v>
      </c>
      <c r="C10" s="9" t="s">
        <v>438</v>
      </c>
      <c r="D10" s="9" t="s">
        <v>431</v>
      </c>
      <c r="E10" s="10">
        <v>5000.0</v>
      </c>
    </row>
    <row r="11" ht="12.75" customHeight="1">
      <c r="A11" s="17" t="s">
        <v>439</v>
      </c>
      <c r="B11" s="17" t="s">
        <v>440</v>
      </c>
      <c r="C11" s="17" t="s">
        <v>441</v>
      </c>
      <c r="D11" s="17" t="s">
        <v>431</v>
      </c>
      <c r="E11" s="18">
        <v>15000.0</v>
      </c>
    </row>
    <row r="12" ht="12.75" customHeight="1">
      <c r="A12" s="17" t="s">
        <v>442</v>
      </c>
      <c r="B12" s="17" t="s">
        <v>293</v>
      </c>
      <c r="C12" s="17" t="s">
        <v>443</v>
      </c>
      <c r="D12" s="17" t="s">
        <v>429</v>
      </c>
      <c r="E12" s="18">
        <v>63000.0</v>
      </c>
    </row>
    <row r="13" ht="12.75" customHeight="1">
      <c r="A13" s="9" t="s">
        <v>444</v>
      </c>
      <c r="B13" s="9" t="s">
        <v>36</v>
      </c>
      <c r="C13" s="9" t="s">
        <v>445</v>
      </c>
      <c r="D13" s="9" t="s">
        <v>429</v>
      </c>
      <c r="E13" s="10">
        <v>10240.0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9" t="s">
        <v>446</v>
      </c>
      <c r="B14" s="9" t="s">
        <v>447</v>
      </c>
      <c r="C14" s="9" t="s">
        <v>448</v>
      </c>
      <c r="D14" s="9" t="s">
        <v>431</v>
      </c>
      <c r="E14" s="10">
        <v>15000.0</v>
      </c>
    </row>
    <row r="15" ht="12.75" customHeight="1">
      <c r="A15" s="17" t="s">
        <v>449</v>
      </c>
      <c r="B15" s="17" t="s">
        <v>36</v>
      </c>
      <c r="C15" s="17" t="s">
        <v>450</v>
      </c>
      <c r="D15" s="17" t="s">
        <v>429</v>
      </c>
      <c r="E15" s="18">
        <v>10240.0</v>
      </c>
    </row>
    <row r="16" ht="12.75" customHeight="1">
      <c r="A16" s="17" t="s">
        <v>451</v>
      </c>
      <c r="B16" s="17" t="s">
        <v>452</v>
      </c>
      <c r="C16" s="17" t="s">
        <v>453</v>
      </c>
      <c r="D16" s="17" t="s">
        <v>431</v>
      </c>
      <c r="E16" s="18">
        <v>5000.0</v>
      </c>
    </row>
    <row r="17" ht="12.75" customHeight="1">
      <c r="A17" s="9" t="s">
        <v>454</v>
      </c>
      <c r="B17" s="9" t="s">
        <v>73</v>
      </c>
      <c r="C17" s="9" t="s">
        <v>455</v>
      </c>
      <c r="D17" s="9" t="s">
        <v>429</v>
      </c>
      <c r="E17" s="10">
        <v>4352.0</v>
      </c>
    </row>
    <row r="18" ht="12.75" customHeight="1">
      <c r="A18" s="9" t="s">
        <v>456</v>
      </c>
      <c r="B18" s="9" t="s">
        <v>457</v>
      </c>
      <c r="C18" s="9" t="s">
        <v>458</v>
      </c>
      <c r="D18" s="9" t="s">
        <v>431</v>
      </c>
      <c r="E18" s="10">
        <v>5000.0</v>
      </c>
    </row>
    <row r="19" ht="12.75" customHeight="1">
      <c r="A19" s="17" t="s">
        <v>459</v>
      </c>
      <c r="B19" s="17" t="s">
        <v>73</v>
      </c>
      <c r="C19" s="17" t="s">
        <v>460</v>
      </c>
      <c r="D19" s="17" t="s">
        <v>429</v>
      </c>
      <c r="E19" s="18">
        <v>4080.0</v>
      </c>
    </row>
    <row r="20" ht="12.75" customHeight="1">
      <c r="A20" s="17" t="s">
        <v>461</v>
      </c>
      <c r="B20" s="17" t="s">
        <v>462</v>
      </c>
      <c r="C20" s="17" t="s">
        <v>463</v>
      </c>
      <c r="D20" s="17" t="s">
        <v>431</v>
      </c>
      <c r="E20" s="18">
        <v>65000.0</v>
      </c>
    </row>
    <row r="21" ht="12.75" customHeight="1">
      <c r="A21" s="9" t="s">
        <v>464</v>
      </c>
      <c r="B21" s="9" t="s">
        <v>465</v>
      </c>
      <c r="C21" s="9" t="s">
        <v>466</v>
      </c>
      <c r="D21" s="9" t="s">
        <v>429</v>
      </c>
      <c r="E21" s="10">
        <v>81600.0</v>
      </c>
    </row>
    <row r="22" ht="12.75" customHeight="1">
      <c r="A22" s="9" t="s">
        <v>467</v>
      </c>
      <c r="B22" s="9" t="s">
        <v>468</v>
      </c>
      <c r="C22" s="9" t="s">
        <v>469</v>
      </c>
      <c r="D22" s="9" t="s">
        <v>431</v>
      </c>
      <c r="E22" s="10">
        <v>5000.0</v>
      </c>
    </row>
    <row r="23" ht="12.75" customHeight="1">
      <c r="A23" s="17" t="s">
        <v>470</v>
      </c>
      <c r="B23" s="17" t="s">
        <v>471</v>
      </c>
      <c r="C23" s="17" t="s">
        <v>472</v>
      </c>
      <c r="D23" s="17" t="s">
        <v>429</v>
      </c>
      <c r="E23" s="18">
        <v>73950.0</v>
      </c>
    </row>
    <row r="24" ht="12.75" customHeight="1">
      <c r="A24" s="17" t="s">
        <v>473</v>
      </c>
      <c r="B24" s="17" t="s">
        <v>474</v>
      </c>
      <c r="C24" s="17" t="s">
        <v>475</v>
      </c>
      <c r="D24" s="17" t="s">
        <v>431</v>
      </c>
      <c r="E24" s="18">
        <v>5000.0</v>
      </c>
    </row>
    <row r="25" ht="12.75" customHeight="1">
      <c r="A25" s="9" t="s">
        <v>476</v>
      </c>
      <c r="B25" s="9" t="s">
        <v>477</v>
      </c>
      <c r="C25" s="9" t="s">
        <v>478</v>
      </c>
      <c r="D25" s="9" t="s">
        <v>431</v>
      </c>
      <c r="E25" s="10">
        <v>5000.0</v>
      </c>
    </row>
    <row r="26" ht="12.75" customHeight="1">
      <c r="A26" s="9" t="s">
        <v>479</v>
      </c>
      <c r="B26" s="9" t="s">
        <v>480</v>
      </c>
      <c r="C26" s="9" t="s">
        <v>481</v>
      </c>
      <c r="D26" s="9" t="s">
        <v>429</v>
      </c>
      <c r="E26" s="10">
        <v>4000.0</v>
      </c>
    </row>
    <row r="27" ht="12.75" customHeight="1">
      <c r="A27" s="17" t="s">
        <v>482</v>
      </c>
      <c r="B27" s="17" t="s">
        <v>471</v>
      </c>
      <c r="C27" s="17" t="s">
        <v>483</v>
      </c>
      <c r="D27" s="17" t="s">
        <v>429</v>
      </c>
      <c r="E27" s="18">
        <v>12655.0</v>
      </c>
    </row>
    <row r="28" ht="12.75" customHeight="1">
      <c r="A28" s="17" t="s">
        <v>484</v>
      </c>
      <c r="B28" s="17" t="s">
        <v>485</v>
      </c>
      <c r="C28" s="17" t="s">
        <v>486</v>
      </c>
      <c r="D28" s="17" t="s">
        <v>431</v>
      </c>
      <c r="E28" s="18">
        <v>5000.0</v>
      </c>
    </row>
    <row r="29" ht="12.75" customHeight="1">
      <c r="A29" s="9" t="s">
        <v>487</v>
      </c>
      <c r="B29" s="9" t="s">
        <v>488</v>
      </c>
      <c r="C29" s="9" t="s">
        <v>489</v>
      </c>
      <c r="D29" s="9" t="s">
        <v>429</v>
      </c>
      <c r="E29" s="10">
        <v>712.0</v>
      </c>
    </row>
    <row r="30" ht="12.75" customHeight="1">
      <c r="A30" s="9" t="s">
        <v>490</v>
      </c>
      <c r="B30" s="9" t="s">
        <v>491</v>
      </c>
      <c r="C30" s="9" t="s">
        <v>492</v>
      </c>
      <c r="D30" s="9" t="s">
        <v>431</v>
      </c>
      <c r="E30" s="10">
        <v>45000.0</v>
      </c>
    </row>
    <row r="31" ht="12.75" customHeight="1">
      <c r="A31" s="17" t="s">
        <v>493</v>
      </c>
      <c r="B31" s="17" t="s">
        <v>494</v>
      </c>
      <c r="C31" s="17" t="s">
        <v>495</v>
      </c>
      <c r="D31" s="17" t="s">
        <v>429</v>
      </c>
      <c r="E31" s="18">
        <v>56000.0</v>
      </c>
    </row>
    <row r="32" ht="12.75" customHeight="1">
      <c r="A32" s="17" t="s">
        <v>496</v>
      </c>
      <c r="B32" s="17" t="s">
        <v>68</v>
      </c>
      <c r="C32" s="17" t="s">
        <v>497</v>
      </c>
      <c r="D32" s="17" t="s">
        <v>431</v>
      </c>
      <c r="E32" s="18">
        <v>5000.0</v>
      </c>
    </row>
    <row r="33" ht="12.75" customHeight="1">
      <c r="A33" s="9" t="s">
        <v>498</v>
      </c>
      <c r="B33" s="9" t="s">
        <v>474</v>
      </c>
      <c r="C33" s="9" t="s">
        <v>499</v>
      </c>
      <c r="D33" s="9" t="s">
        <v>431</v>
      </c>
      <c r="E33" s="10">
        <v>5000.0</v>
      </c>
    </row>
    <row r="34" ht="12.75" customHeight="1">
      <c r="A34" s="17" t="s">
        <v>500</v>
      </c>
      <c r="B34" s="17" t="s">
        <v>501</v>
      </c>
      <c r="C34" s="17" t="s">
        <v>502</v>
      </c>
      <c r="D34" s="17" t="s">
        <v>431</v>
      </c>
      <c r="E34" s="18">
        <v>5000.0</v>
      </c>
    </row>
    <row r="35" ht="12.75" customHeight="1">
      <c r="A35" s="17" t="s">
        <v>503</v>
      </c>
      <c r="B35" s="17" t="s">
        <v>504</v>
      </c>
      <c r="C35" s="17" t="s">
        <v>505</v>
      </c>
      <c r="D35" s="17" t="s">
        <v>431</v>
      </c>
      <c r="E35" s="18">
        <v>15000.0</v>
      </c>
    </row>
    <row r="36" ht="12.75" customHeight="1">
      <c r="A36" s="9" t="s">
        <v>506</v>
      </c>
      <c r="B36" s="9" t="s">
        <v>507</v>
      </c>
      <c r="C36" s="9" t="s">
        <v>508</v>
      </c>
      <c r="D36" s="9" t="s">
        <v>431</v>
      </c>
      <c r="E36" s="10">
        <v>15000.0</v>
      </c>
    </row>
    <row r="37" ht="12.75" customHeight="1">
      <c r="A37" s="9" t="s">
        <v>509</v>
      </c>
      <c r="B37" s="9" t="s">
        <v>471</v>
      </c>
      <c r="C37" s="9" t="s">
        <v>510</v>
      </c>
      <c r="D37" s="9" t="s">
        <v>429</v>
      </c>
      <c r="E37" s="10">
        <v>12720.0</v>
      </c>
    </row>
    <row r="38" ht="12.75" customHeight="1">
      <c r="A38" s="9" t="s">
        <v>511</v>
      </c>
      <c r="B38" s="9" t="s">
        <v>512</v>
      </c>
      <c r="C38" s="9" t="s">
        <v>513</v>
      </c>
      <c r="D38" s="9" t="s">
        <v>431</v>
      </c>
      <c r="E38" s="10">
        <v>10000.0</v>
      </c>
    </row>
    <row r="39" ht="12.75" customHeight="1">
      <c r="A39" s="17" t="s">
        <v>514</v>
      </c>
      <c r="B39" s="17" t="s">
        <v>515</v>
      </c>
      <c r="C39" s="17" t="s">
        <v>516</v>
      </c>
      <c r="D39" s="17" t="s">
        <v>429</v>
      </c>
      <c r="E39" s="18">
        <v>50740.0</v>
      </c>
    </row>
    <row r="40" ht="12.75" customHeight="1">
      <c r="A40" s="9" t="s">
        <v>517</v>
      </c>
      <c r="B40" s="9" t="s">
        <v>73</v>
      </c>
      <c r="C40" s="9" t="s">
        <v>518</v>
      </c>
      <c r="D40" s="9" t="s">
        <v>429</v>
      </c>
      <c r="E40" s="10">
        <v>14552.0</v>
      </c>
    </row>
    <row r="41" ht="12.75" customHeight="1">
      <c r="A41" s="17" t="s">
        <v>519</v>
      </c>
      <c r="B41" s="17" t="s">
        <v>73</v>
      </c>
      <c r="C41" s="17" t="s">
        <v>520</v>
      </c>
      <c r="D41" s="17" t="s">
        <v>429</v>
      </c>
      <c r="E41" s="18">
        <v>14552.0</v>
      </c>
    </row>
    <row r="42" ht="12.75" customHeight="1">
      <c r="A42" s="9" t="s">
        <v>521</v>
      </c>
      <c r="B42" s="9" t="s">
        <v>84</v>
      </c>
      <c r="C42" s="9" t="s">
        <v>522</v>
      </c>
      <c r="D42" s="9" t="s">
        <v>429</v>
      </c>
      <c r="E42" s="10">
        <v>12160.0</v>
      </c>
    </row>
    <row r="43" ht="12.75" customHeight="1">
      <c r="A43" s="17" t="s">
        <v>523</v>
      </c>
      <c r="B43" s="17" t="s">
        <v>524</v>
      </c>
      <c r="C43" s="17" t="s">
        <v>525</v>
      </c>
      <c r="D43" s="17" t="s">
        <v>431</v>
      </c>
      <c r="E43" s="18">
        <v>25000.0</v>
      </c>
    </row>
    <row r="44" ht="12.75" customHeight="1">
      <c r="A44" s="9" t="s">
        <v>526</v>
      </c>
      <c r="B44" s="9" t="s">
        <v>88</v>
      </c>
      <c r="C44" s="9" t="s">
        <v>527</v>
      </c>
      <c r="D44" s="9" t="s">
        <v>428</v>
      </c>
      <c r="E44" s="10">
        <v>238000.0</v>
      </c>
    </row>
    <row r="45" ht="12.75" customHeight="1">
      <c r="A45" s="9" t="s">
        <v>528</v>
      </c>
      <c r="B45" s="9" t="s">
        <v>529</v>
      </c>
      <c r="C45" s="9" t="s">
        <v>530</v>
      </c>
      <c r="D45" s="9" t="s">
        <v>431</v>
      </c>
      <c r="E45" s="10">
        <v>5000.0</v>
      </c>
    </row>
    <row r="46" ht="12.75" customHeight="1">
      <c r="A46" s="17" t="s">
        <v>531</v>
      </c>
      <c r="B46" s="17" t="s">
        <v>471</v>
      </c>
      <c r="C46" s="17" t="s">
        <v>532</v>
      </c>
      <c r="D46" s="17" t="s">
        <v>429</v>
      </c>
      <c r="E46" s="18">
        <v>14008.0</v>
      </c>
    </row>
    <row r="47" ht="12.75" customHeight="1">
      <c r="A47" s="9" t="s">
        <v>533</v>
      </c>
      <c r="B47" s="9" t="s">
        <v>534</v>
      </c>
      <c r="C47" s="9" t="s">
        <v>535</v>
      </c>
      <c r="D47" s="9" t="s">
        <v>429</v>
      </c>
      <c r="E47" s="10">
        <v>50000.0</v>
      </c>
    </row>
    <row r="48" ht="12.75" customHeight="1">
      <c r="A48" s="9" t="s">
        <v>533</v>
      </c>
      <c r="B48" s="9" t="s">
        <v>275</v>
      </c>
      <c r="C48" s="9" t="s">
        <v>536</v>
      </c>
      <c r="D48" s="9" t="s">
        <v>429</v>
      </c>
      <c r="E48" s="10">
        <v>42000.0</v>
      </c>
    </row>
    <row r="49" ht="12.75" customHeight="1">
      <c r="A49" s="9" t="s">
        <v>533</v>
      </c>
      <c r="B49" s="9" t="s">
        <v>537</v>
      </c>
      <c r="C49" s="9" t="s">
        <v>538</v>
      </c>
      <c r="D49" s="9" t="s">
        <v>429</v>
      </c>
      <c r="E49" s="10">
        <v>316.0</v>
      </c>
    </row>
    <row r="50" ht="12.75" customHeight="1">
      <c r="A50" s="17" t="s">
        <v>533</v>
      </c>
      <c r="B50" s="17" t="s">
        <v>36</v>
      </c>
      <c r="C50" s="17" t="s">
        <v>539</v>
      </c>
      <c r="D50" s="17" t="s">
        <v>429</v>
      </c>
      <c r="E50" s="18">
        <v>10240.0</v>
      </c>
    </row>
    <row r="51" ht="12.75" customHeight="1">
      <c r="A51" s="9" t="s">
        <v>533</v>
      </c>
      <c r="B51" s="9" t="s">
        <v>97</v>
      </c>
      <c r="C51" s="9" t="s">
        <v>540</v>
      </c>
      <c r="D51" s="9" t="s">
        <v>429</v>
      </c>
      <c r="E51" s="10">
        <v>40800.0</v>
      </c>
    </row>
    <row r="52" ht="12.75" customHeight="1">
      <c r="A52" s="17" t="s">
        <v>533</v>
      </c>
      <c r="B52" s="17" t="s">
        <v>541</v>
      </c>
      <c r="C52" s="17" t="s">
        <v>542</v>
      </c>
      <c r="D52" s="17" t="s">
        <v>429</v>
      </c>
      <c r="E52" s="18">
        <v>21498.0</v>
      </c>
    </row>
    <row r="53" ht="12.75" customHeight="1">
      <c r="A53" s="9" t="s">
        <v>543</v>
      </c>
      <c r="B53" s="9" t="s">
        <v>544</v>
      </c>
      <c r="C53" s="9" t="s">
        <v>545</v>
      </c>
      <c r="D53" s="9" t="s">
        <v>431</v>
      </c>
      <c r="E53" s="10">
        <v>15000.0</v>
      </c>
    </row>
    <row r="54" ht="12.75" customHeight="1">
      <c r="A54" s="17" t="s">
        <v>546</v>
      </c>
      <c r="B54" s="17" t="s">
        <v>547</v>
      </c>
      <c r="C54" s="17" t="s">
        <v>548</v>
      </c>
      <c r="D54" s="17" t="s">
        <v>429</v>
      </c>
      <c r="E54" s="18">
        <v>2000.0</v>
      </c>
    </row>
    <row r="55" ht="12.75" customHeight="1">
      <c r="A55" s="17" t="s">
        <v>546</v>
      </c>
      <c r="B55" s="17" t="s">
        <v>549</v>
      </c>
      <c r="C55" s="17" t="s">
        <v>550</v>
      </c>
      <c r="D55" s="17" t="s">
        <v>429</v>
      </c>
      <c r="E55" s="18">
        <v>1200.0</v>
      </c>
    </row>
    <row r="56" ht="12.75" customHeight="1">
      <c r="A56" s="17" t="s">
        <v>546</v>
      </c>
      <c r="B56" s="17" t="s">
        <v>73</v>
      </c>
      <c r="C56" s="17" t="s">
        <v>551</v>
      </c>
      <c r="D56" s="17" t="s">
        <v>429</v>
      </c>
      <c r="E56" s="18">
        <v>12834.0</v>
      </c>
    </row>
    <row r="57" ht="12.75" customHeight="1">
      <c r="A57" s="9" t="s">
        <v>546</v>
      </c>
      <c r="B57" s="9" t="s">
        <v>73</v>
      </c>
      <c r="C57" s="9" t="s">
        <v>552</v>
      </c>
      <c r="D57" s="9" t="s">
        <v>429</v>
      </c>
      <c r="E57" s="10">
        <v>12400.0</v>
      </c>
    </row>
    <row r="58" ht="12.75" customHeight="1">
      <c r="A58" s="17" t="s">
        <v>553</v>
      </c>
      <c r="B58" s="17" t="s">
        <v>554</v>
      </c>
      <c r="C58" s="17" t="s">
        <v>555</v>
      </c>
      <c r="D58" s="17" t="s">
        <v>431</v>
      </c>
      <c r="E58" s="18">
        <v>5000.0</v>
      </c>
    </row>
    <row r="59" ht="12.75" customHeight="1">
      <c r="A59" s="9" t="s">
        <v>556</v>
      </c>
      <c r="B59" s="9" t="s">
        <v>557</v>
      </c>
      <c r="C59" s="9" t="s">
        <v>558</v>
      </c>
      <c r="D59" s="9" t="s">
        <v>431</v>
      </c>
      <c r="E59" s="10">
        <v>5000.0</v>
      </c>
    </row>
    <row r="60" ht="12.75" customHeight="1">
      <c r="A60" s="17" t="s">
        <v>559</v>
      </c>
      <c r="B60" s="17" t="s">
        <v>560</v>
      </c>
      <c r="C60" s="17" t="s">
        <v>561</v>
      </c>
      <c r="D60" s="17" t="s">
        <v>431</v>
      </c>
      <c r="E60" s="18">
        <v>5000.0</v>
      </c>
    </row>
    <row r="61" ht="12.75" customHeight="1">
      <c r="A61" s="9" t="s">
        <v>562</v>
      </c>
      <c r="B61" s="9" t="s">
        <v>563</v>
      </c>
      <c r="C61" s="9" t="s">
        <v>564</v>
      </c>
      <c r="D61" s="9" t="s">
        <v>429</v>
      </c>
      <c r="E61" s="10">
        <v>3328.0</v>
      </c>
    </row>
    <row r="62" ht="12.75" customHeight="1">
      <c r="A62" s="17" t="s">
        <v>562</v>
      </c>
      <c r="B62" s="17" t="s">
        <v>565</v>
      </c>
      <c r="C62" s="17" t="s">
        <v>566</v>
      </c>
      <c r="D62" s="17" t="s">
        <v>429</v>
      </c>
      <c r="E62" s="18">
        <v>2000.0</v>
      </c>
    </row>
    <row r="63" ht="12.75" customHeight="1">
      <c r="A63" s="9" t="s">
        <v>562</v>
      </c>
      <c r="B63" s="9" t="s">
        <v>567</v>
      </c>
      <c r="C63" s="9" t="s">
        <v>568</v>
      </c>
      <c r="D63" s="9" t="s">
        <v>429</v>
      </c>
      <c r="E63" s="10">
        <v>1600.0</v>
      </c>
    </row>
    <row r="64" ht="12.75" customHeight="1">
      <c r="A64" s="9" t="s">
        <v>562</v>
      </c>
      <c r="B64" s="9" t="s">
        <v>569</v>
      </c>
      <c r="C64" s="9" t="s">
        <v>570</v>
      </c>
      <c r="D64" s="9" t="s">
        <v>429</v>
      </c>
      <c r="E64" s="10">
        <v>1400.0</v>
      </c>
    </row>
    <row r="65" ht="12.75" customHeight="1">
      <c r="A65" s="9" t="s">
        <v>562</v>
      </c>
      <c r="B65" s="9" t="s">
        <v>571</v>
      </c>
      <c r="C65" s="9" t="s">
        <v>572</v>
      </c>
      <c r="D65" s="9" t="s">
        <v>429</v>
      </c>
      <c r="E65" s="10">
        <v>2764.0</v>
      </c>
    </row>
    <row r="66" ht="12.75" customHeight="1">
      <c r="A66" s="17" t="s">
        <v>562</v>
      </c>
      <c r="B66" s="17" t="s">
        <v>573</v>
      </c>
      <c r="C66" s="17" t="s">
        <v>574</v>
      </c>
      <c r="D66" s="17" t="s">
        <v>429</v>
      </c>
      <c r="E66" s="18">
        <v>4000.0</v>
      </c>
    </row>
    <row r="67" ht="12.75" customHeight="1">
      <c r="A67" s="9" t="s">
        <v>575</v>
      </c>
      <c r="B67" s="9" t="s">
        <v>576</v>
      </c>
      <c r="C67" s="9" t="s">
        <v>577</v>
      </c>
      <c r="D67" s="9" t="s">
        <v>431</v>
      </c>
      <c r="E67" s="10">
        <v>10000.0</v>
      </c>
    </row>
    <row r="68" ht="12.75" customHeight="1">
      <c r="A68" s="17" t="s">
        <v>575</v>
      </c>
      <c r="B68" s="17" t="s">
        <v>578</v>
      </c>
      <c r="C68" s="17" t="s">
        <v>579</v>
      </c>
      <c r="D68" s="17" t="s">
        <v>431</v>
      </c>
      <c r="E68" s="18">
        <v>5000.0</v>
      </c>
    </row>
    <row r="69" ht="12.75" customHeight="1">
      <c r="A69" s="9" t="s">
        <v>580</v>
      </c>
      <c r="B69" s="9" t="s">
        <v>581</v>
      </c>
      <c r="C69" s="9" t="s">
        <v>582</v>
      </c>
      <c r="D69" s="9" t="s">
        <v>431</v>
      </c>
      <c r="E69" s="10">
        <v>5000.0</v>
      </c>
    </row>
    <row r="70" ht="12.75" customHeight="1">
      <c r="A70" s="9" t="s">
        <v>583</v>
      </c>
      <c r="B70" s="9" t="s">
        <v>578</v>
      </c>
      <c r="C70" s="9" t="s">
        <v>584</v>
      </c>
      <c r="D70" s="9" t="s">
        <v>431</v>
      </c>
      <c r="E70" s="10">
        <v>5000.0</v>
      </c>
    </row>
    <row r="71" ht="12.75" customHeight="1">
      <c r="A71" s="17" t="s">
        <v>585</v>
      </c>
      <c r="B71" s="17" t="s">
        <v>404</v>
      </c>
      <c r="C71" s="17" t="s">
        <v>586</v>
      </c>
      <c r="D71" s="17" t="s">
        <v>431</v>
      </c>
      <c r="E71" s="18">
        <v>5000.0</v>
      </c>
    </row>
    <row r="72" ht="12.75" customHeight="1">
      <c r="A72" s="17" t="s">
        <v>587</v>
      </c>
      <c r="B72" s="17" t="s">
        <v>275</v>
      </c>
      <c r="C72" s="17" t="s">
        <v>588</v>
      </c>
      <c r="D72" s="17" t="s">
        <v>429</v>
      </c>
      <c r="E72" s="18">
        <v>2000.0</v>
      </c>
    </row>
    <row r="73" ht="12.75" customHeight="1">
      <c r="A73" s="9" t="s">
        <v>587</v>
      </c>
      <c r="B73" s="9" t="s">
        <v>589</v>
      </c>
      <c r="C73" s="9" t="s">
        <v>590</v>
      </c>
      <c r="D73" s="9" t="s">
        <v>429</v>
      </c>
      <c r="E73" s="10">
        <v>54000.0</v>
      </c>
    </row>
    <row r="74" ht="12.75" customHeight="1">
      <c r="A74" s="17" t="s">
        <v>591</v>
      </c>
      <c r="B74" s="17" t="s">
        <v>592</v>
      </c>
      <c r="C74" s="17" t="s">
        <v>593</v>
      </c>
      <c r="D74" s="17" t="s">
        <v>431</v>
      </c>
      <c r="E74" s="18">
        <v>5000.0</v>
      </c>
    </row>
    <row r="75" ht="12.75" customHeight="1">
      <c r="A75" s="17" t="s">
        <v>594</v>
      </c>
      <c r="B75" s="17" t="s">
        <v>397</v>
      </c>
      <c r="C75" s="17" t="s">
        <v>595</v>
      </c>
      <c r="D75" s="17" t="s">
        <v>429</v>
      </c>
      <c r="E75" s="18">
        <v>13200.0</v>
      </c>
    </row>
    <row r="76" ht="12.75" customHeight="1">
      <c r="A76" s="9" t="s">
        <v>594</v>
      </c>
      <c r="B76" s="9" t="s">
        <v>565</v>
      </c>
      <c r="C76" s="9" t="s">
        <v>596</v>
      </c>
      <c r="D76" s="9" t="s">
        <v>429</v>
      </c>
      <c r="E76" s="10">
        <v>6000.0</v>
      </c>
    </row>
    <row r="77" ht="12.75" customHeight="1">
      <c r="A77" s="9" t="s">
        <v>594</v>
      </c>
      <c r="B77" s="9" t="s">
        <v>597</v>
      </c>
      <c r="C77" s="9" t="s">
        <v>598</v>
      </c>
      <c r="D77" s="9" t="s">
        <v>429</v>
      </c>
      <c r="E77" s="10">
        <v>1280.0</v>
      </c>
    </row>
    <row r="78" ht="12.75" customHeight="1">
      <c r="A78" s="17" t="s">
        <v>594</v>
      </c>
      <c r="B78" s="17" t="s">
        <v>599</v>
      </c>
      <c r="C78" s="17" t="s">
        <v>600</v>
      </c>
      <c r="D78" s="17" t="s">
        <v>429</v>
      </c>
      <c r="E78" s="18">
        <v>16000.0</v>
      </c>
    </row>
    <row r="79" ht="12.75" customHeight="1">
      <c r="A79" s="17" t="s">
        <v>601</v>
      </c>
      <c r="B79" s="17" t="s">
        <v>602</v>
      </c>
      <c r="C79" s="17" t="s">
        <v>603</v>
      </c>
      <c r="D79" s="17" t="s">
        <v>431</v>
      </c>
      <c r="E79" s="18">
        <v>5000.0</v>
      </c>
    </row>
    <row r="80" ht="12.75" customHeight="1">
      <c r="A80" s="9" t="s">
        <v>604</v>
      </c>
      <c r="B80" s="9" t="s">
        <v>605</v>
      </c>
      <c r="C80" s="9" t="s">
        <v>606</v>
      </c>
      <c r="D80" s="9" t="s">
        <v>431</v>
      </c>
      <c r="E80" s="10">
        <v>5000.0</v>
      </c>
    </row>
    <row r="81" ht="12.75" customHeight="1">
      <c r="A81" s="9" t="s">
        <v>607</v>
      </c>
      <c r="B81" s="9" t="s">
        <v>608</v>
      </c>
      <c r="C81" s="9" t="s">
        <v>609</v>
      </c>
      <c r="D81" s="9" t="s">
        <v>431</v>
      </c>
      <c r="E81" s="10">
        <v>15000.0</v>
      </c>
    </row>
    <row r="82" ht="12.75" customHeight="1">
      <c r="A82" s="17" t="s">
        <v>610</v>
      </c>
      <c r="B82" s="17" t="s">
        <v>471</v>
      </c>
      <c r="C82" s="17" t="s">
        <v>611</v>
      </c>
      <c r="D82" s="17" t="s">
        <v>429</v>
      </c>
      <c r="E82" s="18">
        <v>79180.0</v>
      </c>
    </row>
    <row r="83" ht="12.75" customHeight="1">
      <c r="A83" s="17" t="s">
        <v>610</v>
      </c>
      <c r="B83" s="17" t="s">
        <v>275</v>
      </c>
      <c r="C83" s="17" t="s">
        <v>612</v>
      </c>
      <c r="D83" s="17" t="s">
        <v>429</v>
      </c>
      <c r="E83" s="18">
        <v>900.0</v>
      </c>
    </row>
    <row r="84" ht="12.75" customHeight="1">
      <c r="A84" s="9" t="s">
        <v>610</v>
      </c>
      <c r="B84" s="9" t="s">
        <v>156</v>
      </c>
      <c r="C84" s="9" t="s">
        <v>613</v>
      </c>
      <c r="D84" s="9" t="s">
        <v>429</v>
      </c>
      <c r="E84" s="10">
        <v>60504.0</v>
      </c>
    </row>
    <row r="85" ht="12.75" customHeight="1">
      <c r="A85" s="9" t="s">
        <v>610</v>
      </c>
      <c r="B85" s="9" t="s">
        <v>73</v>
      </c>
      <c r="C85" s="9" t="s">
        <v>614</v>
      </c>
      <c r="D85" s="9" t="s">
        <v>429</v>
      </c>
      <c r="E85" s="10">
        <v>13056.0</v>
      </c>
    </row>
    <row r="86" ht="12.75" customHeight="1">
      <c r="A86" s="9" t="s">
        <v>615</v>
      </c>
      <c r="B86" s="9" t="s">
        <v>616</v>
      </c>
      <c r="C86" s="9" t="s">
        <v>617</v>
      </c>
      <c r="D86" s="9" t="s">
        <v>431</v>
      </c>
      <c r="E86" s="10">
        <v>15000.0</v>
      </c>
    </row>
    <row r="87" ht="12.75" customHeight="1">
      <c r="A87" s="17" t="s">
        <v>618</v>
      </c>
      <c r="B87" s="17" t="s">
        <v>619</v>
      </c>
      <c r="C87" s="17" t="s">
        <v>620</v>
      </c>
      <c r="D87" s="17" t="s">
        <v>431</v>
      </c>
      <c r="E87" s="18">
        <v>15000.0</v>
      </c>
    </row>
    <row r="88" ht="12.75" customHeight="1">
      <c r="A88" s="9" t="s">
        <v>621</v>
      </c>
      <c r="B88" s="9" t="s">
        <v>622</v>
      </c>
      <c r="C88" s="9" t="s">
        <v>623</v>
      </c>
      <c r="D88" s="9" t="s">
        <v>429</v>
      </c>
      <c r="E88" s="10">
        <v>60000.0</v>
      </c>
    </row>
    <row r="89" ht="12.75" customHeight="1">
      <c r="A89" s="9" t="s">
        <v>621</v>
      </c>
      <c r="B89" s="9" t="s">
        <v>624</v>
      </c>
      <c r="C89" s="9" t="s">
        <v>625</v>
      </c>
      <c r="D89" s="9" t="s">
        <v>429</v>
      </c>
      <c r="E89" s="10">
        <v>20000.0</v>
      </c>
    </row>
    <row r="90" ht="12.75" customHeight="1">
      <c r="A90" s="17" t="s">
        <v>621</v>
      </c>
      <c r="B90" s="17" t="s">
        <v>565</v>
      </c>
      <c r="C90" s="17" t="s">
        <v>626</v>
      </c>
      <c r="D90" s="17" t="s">
        <v>429</v>
      </c>
      <c r="E90" s="18">
        <v>5000.0</v>
      </c>
    </row>
    <row r="91" ht="12.75" customHeight="1">
      <c r="A91" s="17" t="s">
        <v>621</v>
      </c>
      <c r="B91" s="17" t="s">
        <v>627</v>
      </c>
      <c r="C91" s="17" t="s">
        <v>628</v>
      </c>
      <c r="D91" s="17" t="s">
        <v>429</v>
      </c>
      <c r="E91" s="18">
        <v>45446.0</v>
      </c>
    </row>
    <row r="92" ht="12.75" customHeight="1">
      <c r="A92" s="17" t="s">
        <v>621</v>
      </c>
      <c r="B92" s="17" t="s">
        <v>104</v>
      </c>
      <c r="C92" s="17" t="s">
        <v>629</v>
      </c>
      <c r="D92" s="17" t="s">
        <v>429</v>
      </c>
      <c r="E92" s="18">
        <v>32184.0</v>
      </c>
    </row>
    <row r="93" ht="12.75" customHeight="1">
      <c r="A93" s="9" t="s">
        <v>621</v>
      </c>
      <c r="B93" s="9" t="s">
        <v>630</v>
      </c>
      <c r="C93" s="9" t="s">
        <v>631</v>
      </c>
      <c r="D93" s="9" t="s">
        <v>429</v>
      </c>
      <c r="E93" s="10">
        <v>9920.0</v>
      </c>
    </row>
    <row r="94" ht="12.75" customHeight="1">
      <c r="A94" s="17" t="s">
        <v>632</v>
      </c>
      <c r="B94" s="17" t="s">
        <v>633</v>
      </c>
      <c r="C94" s="17" t="s">
        <v>634</v>
      </c>
      <c r="D94" s="17" t="s">
        <v>431</v>
      </c>
      <c r="E94" s="18">
        <v>15000.0</v>
      </c>
    </row>
    <row r="95" ht="12.75" customHeight="1">
      <c r="A95" s="17" t="s">
        <v>635</v>
      </c>
      <c r="B95" s="17" t="s">
        <v>636</v>
      </c>
      <c r="C95" s="17" t="s">
        <v>637</v>
      </c>
      <c r="D95" s="17" t="s">
        <v>431</v>
      </c>
      <c r="E95" s="18">
        <v>5000.0</v>
      </c>
    </row>
    <row r="96" ht="12.75" customHeight="1">
      <c r="A96" s="9" t="s">
        <v>638</v>
      </c>
      <c r="B96" s="9" t="s">
        <v>565</v>
      </c>
      <c r="C96" s="9" t="s">
        <v>639</v>
      </c>
      <c r="D96" s="9" t="s">
        <v>429</v>
      </c>
      <c r="E96" s="10">
        <v>13200.0</v>
      </c>
    </row>
    <row r="97" ht="12.75" customHeight="1">
      <c r="A97" s="17" t="s">
        <v>638</v>
      </c>
      <c r="B97" s="17" t="s">
        <v>565</v>
      </c>
      <c r="C97" s="17" t="s">
        <v>640</v>
      </c>
      <c r="D97" s="17" t="s">
        <v>429</v>
      </c>
      <c r="E97" s="18">
        <v>2000.0</v>
      </c>
    </row>
    <row r="98" ht="12.75" customHeight="1">
      <c r="A98" s="9" t="s">
        <v>638</v>
      </c>
      <c r="B98" s="9" t="s">
        <v>471</v>
      </c>
      <c r="C98" s="9" t="s">
        <v>641</v>
      </c>
      <c r="D98" s="9" t="s">
        <v>429</v>
      </c>
      <c r="E98" s="10">
        <v>63000.0</v>
      </c>
    </row>
    <row r="99" ht="12.75" customHeight="1">
      <c r="A99" s="17" t="s">
        <v>638</v>
      </c>
      <c r="B99" s="17" t="s">
        <v>480</v>
      </c>
      <c r="C99" s="17" t="s">
        <v>642</v>
      </c>
      <c r="D99" s="17" t="s">
        <v>429</v>
      </c>
      <c r="E99" s="18">
        <v>3200.0</v>
      </c>
    </row>
    <row r="100" ht="12.75" customHeight="1">
      <c r="A100" s="9" t="s">
        <v>638</v>
      </c>
      <c r="B100" s="9" t="s">
        <v>480</v>
      </c>
      <c r="C100" s="9" t="s">
        <v>643</v>
      </c>
      <c r="D100" s="9" t="s">
        <v>429</v>
      </c>
      <c r="E100" s="10">
        <v>3200.0</v>
      </c>
    </row>
    <row r="101" ht="12.75" customHeight="1">
      <c r="A101" s="17" t="s">
        <v>638</v>
      </c>
      <c r="B101" s="17" t="s">
        <v>644</v>
      </c>
      <c r="C101" s="17" t="s">
        <v>645</v>
      </c>
      <c r="D101" s="17" t="s">
        <v>429</v>
      </c>
      <c r="E101" s="18">
        <v>16000.0</v>
      </c>
    </row>
    <row r="102" ht="12.75" customHeight="1">
      <c r="A102" s="17" t="s">
        <v>646</v>
      </c>
      <c r="B102" s="17" t="s">
        <v>647</v>
      </c>
      <c r="C102" s="17" t="s">
        <v>648</v>
      </c>
      <c r="D102" s="17" t="s">
        <v>431</v>
      </c>
      <c r="E102" s="18">
        <v>5000.0</v>
      </c>
    </row>
    <row r="103" ht="12.75" customHeight="1">
      <c r="A103" s="9" t="s">
        <v>646</v>
      </c>
      <c r="B103" s="9" t="s">
        <v>636</v>
      </c>
      <c r="C103" s="9" t="s">
        <v>649</v>
      </c>
      <c r="D103" s="9" t="s">
        <v>431</v>
      </c>
      <c r="E103" s="10">
        <v>10000.0</v>
      </c>
    </row>
    <row r="104" ht="12.75" customHeight="1">
      <c r="A104" s="9" t="s">
        <v>650</v>
      </c>
      <c r="B104" s="9" t="s">
        <v>651</v>
      </c>
      <c r="C104" s="9" t="s">
        <v>652</v>
      </c>
      <c r="D104" s="9" t="s">
        <v>431</v>
      </c>
      <c r="E104" s="10">
        <v>5000.0</v>
      </c>
    </row>
    <row r="105" ht="12.75" customHeight="1">
      <c r="A105" s="9" t="s">
        <v>653</v>
      </c>
      <c r="B105" s="9" t="s">
        <v>654</v>
      </c>
      <c r="C105" s="9" t="s">
        <v>655</v>
      </c>
      <c r="D105" s="9" t="s">
        <v>431</v>
      </c>
      <c r="E105" s="10">
        <v>15000.0</v>
      </c>
    </row>
    <row r="106" ht="12.75" customHeight="1">
      <c r="A106" s="17" t="s">
        <v>653</v>
      </c>
      <c r="B106" s="17" t="s">
        <v>656</v>
      </c>
      <c r="C106" s="17" t="s">
        <v>657</v>
      </c>
      <c r="D106" s="17" t="s">
        <v>431</v>
      </c>
      <c r="E106" s="18">
        <v>5000.0</v>
      </c>
    </row>
    <row r="107" ht="12.75" customHeight="1">
      <c r="A107" s="17" t="s">
        <v>658</v>
      </c>
      <c r="B107" s="17" t="s">
        <v>471</v>
      </c>
      <c r="C107" s="17" t="s">
        <v>659</v>
      </c>
      <c r="D107" s="17" t="s">
        <v>429</v>
      </c>
      <c r="E107" s="18">
        <v>115506.0</v>
      </c>
    </row>
    <row r="108" ht="12.75" customHeight="1">
      <c r="A108" s="9" t="s">
        <v>658</v>
      </c>
      <c r="B108" s="9" t="s">
        <v>660</v>
      </c>
      <c r="C108" s="9" t="s">
        <v>661</v>
      </c>
      <c r="D108" s="9" t="s">
        <v>429</v>
      </c>
      <c r="E108" s="10">
        <v>17174.0</v>
      </c>
    </row>
    <row r="109" ht="12.75" customHeight="1">
      <c r="A109" s="17" t="s">
        <v>658</v>
      </c>
      <c r="B109" s="17" t="s">
        <v>660</v>
      </c>
      <c r="C109" s="17" t="s">
        <v>662</v>
      </c>
      <c r="D109" s="17" t="s">
        <v>429</v>
      </c>
      <c r="E109" s="18">
        <v>42474.0</v>
      </c>
    </row>
    <row r="110" ht="12.75" customHeight="1">
      <c r="A110" s="9" t="s">
        <v>658</v>
      </c>
      <c r="B110" s="9" t="s">
        <v>663</v>
      </c>
      <c r="C110" s="9" t="s">
        <v>664</v>
      </c>
      <c r="D110" s="9" t="s">
        <v>429</v>
      </c>
      <c r="E110" s="10">
        <v>10656.0</v>
      </c>
    </row>
    <row r="111" ht="12.75" customHeight="1">
      <c r="A111" s="9" t="s">
        <v>658</v>
      </c>
      <c r="B111" s="9" t="s">
        <v>660</v>
      </c>
      <c r="C111" s="9" t="s">
        <v>665</v>
      </c>
      <c r="D111" s="9" t="s">
        <v>429</v>
      </c>
      <c r="E111" s="10">
        <v>55800.0</v>
      </c>
    </row>
    <row r="112" ht="12.75" customHeight="1">
      <c r="A112" s="9" t="s">
        <v>658</v>
      </c>
      <c r="B112" s="9" t="s">
        <v>275</v>
      </c>
      <c r="C112" s="9" t="s">
        <v>666</v>
      </c>
      <c r="D112" s="9" t="s">
        <v>429</v>
      </c>
      <c r="E112" s="10">
        <v>2000.0</v>
      </c>
    </row>
    <row r="113" ht="12.75" customHeight="1">
      <c r="A113" s="17" t="s">
        <v>658</v>
      </c>
      <c r="B113" s="17" t="s">
        <v>397</v>
      </c>
      <c r="C113" s="17" t="s">
        <v>667</v>
      </c>
      <c r="D113" s="17" t="s">
        <v>429</v>
      </c>
      <c r="E113" s="18">
        <v>2000.0</v>
      </c>
    </row>
    <row r="114" ht="12.75" customHeight="1">
      <c r="A114" s="9" t="s">
        <v>658</v>
      </c>
      <c r="B114" s="9" t="s">
        <v>480</v>
      </c>
      <c r="C114" s="9" t="s">
        <v>668</v>
      </c>
      <c r="D114" s="9" t="s">
        <v>429</v>
      </c>
      <c r="E114" s="10">
        <v>1600.0</v>
      </c>
    </row>
    <row r="115" ht="12.75" customHeight="1">
      <c r="A115" s="17" t="s">
        <v>658</v>
      </c>
      <c r="B115" s="17" t="s">
        <v>199</v>
      </c>
      <c r="C115" s="17" t="s">
        <v>669</v>
      </c>
      <c r="D115" s="17" t="s">
        <v>429</v>
      </c>
      <c r="E115" s="18">
        <v>21974.0</v>
      </c>
    </row>
    <row r="116" ht="12.75" customHeight="1">
      <c r="A116" s="9" t="s">
        <v>658</v>
      </c>
      <c r="B116" s="9" t="s">
        <v>195</v>
      </c>
      <c r="C116" s="9" t="s">
        <v>670</v>
      </c>
      <c r="D116" s="9" t="s">
        <v>429</v>
      </c>
      <c r="E116" s="10">
        <v>70000.0</v>
      </c>
    </row>
    <row r="117" ht="12.75" customHeight="1">
      <c r="A117" s="17" t="s">
        <v>671</v>
      </c>
      <c r="B117" s="17" t="s">
        <v>672</v>
      </c>
      <c r="C117" s="17" t="s">
        <v>673</v>
      </c>
      <c r="D117" s="17" t="s">
        <v>431</v>
      </c>
      <c r="E117" s="18">
        <v>5000.0</v>
      </c>
    </row>
    <row r="118" ht="12.75" customHeight="1">
      <c r="A118" s="9" t="s">
        <v>674</v>
      </c>
      <c r="B118" s="9" t="s">
        <v>675</v>
      </c>
      <c r="C118" s="9" t="s">
        <v>676</v>
      </c>
      <c r="D118" s="9" t="s">
        <v>431</v>
      </c>
      <c r="E118" s="10">
        <v>5000.0</v>
      </c>
    </row>
    <row r="119" ht="12.75" customHeight="1">
      <c r="A119" s="9" t="s">
        <v>677</v>
      </c>
      <c r="B119" s="9" t="s">
        <v>678</v>
      </c>
      <c r="C119" s="9" t="s">
        <v>679</v>
      </c>
      <c r="D119" s="9" t="s">
        <v>431</v>
      </c>
      <c r="E119" s="10">
        <v>5000.0</v>
      </c>
    </row>
    <row r="120" ht="12.75" customHeight="1">
      <c r="A120" s="17" t="s">
        <v>680</v>
      </c>
      <c r="B120" s="17" t="s">
        <v>681</v>
      </c>
      <c r="C120" s="17" t="s">
        <v>682</v>
      </c>
      <c r="D120" s="17" t="s">
        <v>431</v>
      </c>
      <c r="E120" s="18">
        <v>5000.0</v>
      </c>
    </row>
    <row r="121" ht="12.75" customHeight="1">
      <c r="A121" s="17" t="s">
        <v>683</v>
      </c>
      <c r="B121" s="17" t="s">
        <v>684</v>
      </c>
      <c r="C121" s="17" t="s">
        <v>685</v>
      </c>
      <c r="D121" s="17" t="s">
        <v>429</v>
      </c>
      <c r="E121" s="18">
        <v>12400.0</v>
      </c>
    </row>
    <row r="122" ht="12.75" customHeight="1">
      <c r="A122" s="9" t="s">
        <v>683</v>
      </c>
      <c r="B122" s="9" t="s">
        <v>488</v>
      </c>
      <c r="C122" s="9" t="s">
        <v>686</v>
      </c>
      <c r="D122" s="9" t="s">
        <v>429</v>
      </c>
      <c r="E122" s="10">
        <v>1280.0</v>
      </c>
    </row>
    <row r="123" ht="12.75" customHeight="1">
      <c r="A123" s="17" t="s">
        <v>683</v>
      </c>
      <c r="B123" s="17" t="s">
        <v>397</v>
      </c>
      <c r="C123" s="17" t="s">
        <v>687</v>
      </c>
      <c r="D123" s="17" t="s">
        <v>429</v>
      </c>
      <c r="E123" s="18">
        <v>2000.0</v>
      </c>
    </row>
    <row r="124" ht="12.75" customHeight="1">
      <c r="A124" s="9" t="s">
        <v>683</v>
      </c>
      <c r="B124" s="9" t="s">
        <v>397</v>
      </c>
      <c r="C124" s="9" t="s">
        <v>688</v>
      </c>
      <c r="D124" s="9" t="s">
        <v>429</v>
      </c>
      <c r="E124" s="10">
        <v>2000.0</v>
      </c>
    </row>
    <row r="125" ht="12.75" customHeight="1">
      <c r="A125" s="17" t="s">
        <v>683</v>
      </c>
      <c r="B125" s="17" t="s">
        <v>397</v>
      </c>
      <c r="C125" s="17" t="s">
        <v>689</v>
      </c>
      <c r="D125" s="17" t="s">
        <v>429</v>
      </c>
      <c r="E125" s="18">
        <v>2000.0</v>
      </c>
    </row>
    <row r="126" ht="12.75" customHeight="1">
      <c r="A126" s="9" t="s">
        <v>683</v>
      </c>
      <c r="B126" s="9" t="s">
        <v>275</v>
      </c>
      <c r="C126" s="9" t="s">
        <v>690</v>
      </c>
      <c r="D126" s="9" t="s">
        <v>429</v>
      </c>
      <c r="E126" s="10">
        <v>2000.0</v>
      </c>
    </row>
    <row r="127" ht="12.75" customHeight="1">
      <c r="A127" s="17" t="s">
        <v>683</v>
      </c>
      <c r="B127" s="17" t="s">
        <v>691</v>
      </c>
      <c r="C127" s="17" t="s">
        <v>692</v>
      </c>
      <c r="D127" s="17" t="s">
        <v>429</v>
      </c>
      <c r="E127" s="18">
        <v>256.0</v>
      </c>
    </row>
    <row r="128" ht="12.75" customHeight="1">
      <c r="A128" s="9" t="s">
        <v>683</v>
      </c>
      <c r="B128" s="9" t="s">
        <v>663</v>
      </c>
      <c r="C128" s="9" t="s">
        <v>693</v>
      </c>
      <c r="D128" s="9" t="s">
        <v>429</v>
      </c>
      <c r="E128" s="10">
        <v>12804.0</v>
      </c>
    </row>
    <row r="129" ht="12.75" customHeight="1">
      <c r="A129" s="17" t="s">
        <v>683</v>
      </c>
      <c r="B129" s="17" t="s">
        <v>565</v>
      </c>
      <c r="C129" s="17" t="s">
        <v>694</v>
      </c>
      <c r="D129" s="17" t="s">
        <v>429</v>
      </c>
      <c r="E129" s="18">
        <v>2000.0</v>
      </c>
    </row>
    <row r="130" ht="12.75" customHeight="1">
      <c r="A130" s="9" t="s">
        <v>683</v>
      </c>
      <c r="B130" s="9" t="s">
        <v>397</v>
      </c>
      <c r="C130" s="9" t="s">
        <v>695</v>
      </c>
      <c r="D130" s="9" t="s">
        <v>429</v>
      </c>
      <c r="E130" s="10">
        <v>14000.0</v>
      </c>
    </row>
    <row r="131" ht="12.75" customHeight="1">
      <c r="A131" s="17" t="s">
        <v>683</v>
      </c>
      <c r="B131" s="17" t="s">
        <v>397</v>
      </c>
      <c r="C131" s="17" t="s">
        <v>696</v>
      </c>
      <c r="D131" s="17" t="s">
        <v>429</v>
      </c>
      <c r="E131" s="18">
        <v>2000.0</v>
      </c>
    </row>
    <row r="132" ht="12.75" customHeight="1">
      <c r="A132" s="9" t="s">
        <v>683</v>
      </c>
      <c r="B132" s="9" t="s">
        <v>697</v>
      </c>
      <c r="C132" s="9" t="s">
        <v>698</v>
      </c>
      <c r="D132" s="9" t="s">
        <v>429</v>
      </c>
      <c r="E132" s="10">
        <v>28830.0</v>
      </c>
    </row>
    <row r="133" ht="12.75" customHeight="1">
      <c r="A133" s="17" t="s">
        <v>683</v>
      </c>
      <c r="B133" s="17" t="s">
        <v>699</v>
      </c>
      <c r="C133" s="17" t="s">
        <v>700</v>
      </c>
      <c r="D133" s="17" t="s">
        <v>429</v>
      </c>
      <c r="E133" s="18">
        <v>5100.0</v>
      </c>
    </row>
    <row r="134" ht="12.75" customHeight="1">
      <c r="A134" s="9" t="s">
        <v>683</v>
      </c>
      <c r="B134" s="9" t="s">
        <v>397</v>
      </c>
      <c r="C134" s="9" t="s">
        <v>701</v>
      </c>
      <c r="D134" s="9" t="s">
        <v>429</v>
      </c>
      <c r="E134" s="10">
        <v>2000.0</v>
      </c>
    </row>
    <row r="135" ht="12.75" customHeight="1">
      <c r="A135" s="17" t="s">
        <v>683</v>
      </c>
      <c r="B135" s="17" t="s">
        <v>397</v>
      </c>
      <c r="C135" s="17" t="s">
        <v>702</v>
      </c>
      <c r="D135" s="17" t="s">
        <v>429</v>
      </c>
      <c r="E135" s="18">
        <v>2000.0</v>
      </c>
    </row>
    <row r="136" ht="12.75" customHeight="1">
      <c r="A136" s="17" t="s">
        <v>683</v>
      </c>
      <c r="B136" s="17" t="s">
        <v>275</v>
      </c>
      <c r="C136" s="17" t="s">
        <v>703</v>
      </c>
      <c r="D136" s="17" t="s">
        <v>429</v>
      </c>
      <c r="E136" s="18">
        <v>2000.0</v>
      </c>
    </row>
    <row r="137" ht="12.75" customHeight="1">
      <c r="A137" s="9" t="s">
        <v>683</v>
      </c>
      <c r="B137" s="9" t="s">
        <v>275</v>
      </c>
      <c r="C137" s="9" t="s">
        <v>704</v>
      </c>
      <c r="D137" s="9" t="s">
        <v>429</v>
      </c>
      <c r="E137" s="10">
        <v>2000.0</v>
      </c>
    </row>
    <row r="138" ht="12.75" customHeight="1">
      <c r="A138" s="17" t="s">
        <v>683</v>
      </c>
      <c r="B138" s="17" t="s">
        <v>275</v>
      </c>
      <c r="C138" s="17" t="s">
        <v>705</v>
      </c>
      <c r="D138" s="17" t="s">
        <v>429</v>
      </c>
      <c r="E138" s="18">
        <v>2000.0</v>
      </c>
    </row>
    <row r="139" ht="12.75" customHeight="1">
      <c r="A139" s="9" t="s">
        <v>683</v>
      </c>
      <c r="B139" s="9" t="s">
        <v>275</v>
      </c>
      <c r="C139" s="9" t="s">
        <v>706</v>
      </c>
      <c r="D139" s="9" t="s">
        <v>429</v>
      </c>
      <c r="E139" s="10">
        <v>20000.0</v>
      </c>
    </row>
    <row r="140" ht="12.75" customHeight="1">
      <c r="A140" s="17" t="s">
        <v>683</v>
      </c>
      <c r="B140" s="17" t="s">
        <v>275</v>
      </c>
      <c r="C140" s="17" t="s">
        <v>707</v>
      </c>
      <c r="D140" s="17" t="s">
        <v>429</v>
      </c>
      <c r="E140" s="18">
        <v>2000.0</v>
      </c>
    </row>
    <row r="141" ht="12.75" customHeight="1">
      <c r="A141" s="9" t="s">
        <v>683</v>
      </c>
      <c r="B141" s="9" t="s">
        <v>275</v>
      </c>
      <c r="C141" s="9" t="s">
        <v>708</v>
      </c>
      <c r="D141" s="9" t="s">
        <v>429</v>
      </c>
      <c r="E141" s="10">
        <v>14000.0</v>
      </c>
    </row>
    <row r="142" ht="12.75" customHeight="1">
      <c r="A142" s="17" t="s">
        <v>683</v>
      </c>
      <c r="B142" s="17" t="s">
        <v>275</v>
      </c>
      <c r="C142" s="17" t="s">
        <v>709</v>
      </c>
      <c r="D142" s="17" t="s">
        <v>429</v>
      </c>
      <c r="E142" s="18">
        <v>7000.0</v>
      </c>
    </row>
    <row r="143" ht="12.75" customHeight="1">
      <c r="A143" s="9" t="s">
        <v>683</v>
      </c>
      <c r="B143" s="9" t="s">
        <v>275</v>
      </c>
      <c r="C143" s="9" t="s">
        <v>710</v>
      </c>
      <c r="D143" s="9" t="s">
        <v>429</v>
      </c>
      <c r="E143" s="10">
        <v>14000.0</v>
      </c>
    </row>
    <row r="144" ht="12.75" customHeight="1">
      <c r="A144" s="17" t="s">
        <v>683</v>
      </c>
      <c r="B144" s="17" t="s">
        <v>275</v>
      </c>
      <c r="C144" s="17" t="s">
        <v>711</v>
      </c>
      <c r="D144" s="17" t="s">
        <v>429</v>
      </c>
      <c r="E144" s="18">
        <v>14000.0</v>
      </c>
    </row>
    <row r="145" ht="12.75" customHeight="1">
      <c r="A145" s="9" t="s">
        <v>683</v>
      </c>
      <c r="B145" s="9" t="s">
        <v>275</v>
      </c>
      <c r="C145" s="9" t="s">
        <v>712</v>
      </c>
      <c r="D145" s="9" t="s">
        <v>429</v>
      </c>
      <c r="E145" s="10">
        <v>2000.0</v>
      </c>
    </row>
    <row r="146" ht="12.75" customHeight="1">
      <c r="A146" s="17" t="s">
        <v>683</v>
      </c>
      <c r="B146" s="17" t="s">
        <v>275</v>
      </c>
      <c r="C146" s="17" t="s">
        <v>713</v>
      </c>
      <c r="D146" s="17" t="s">
        <v>429</v>
      </c>
      <c r="E146" s="18">
        <v>2000.0</v>
      </c>
    </row>
    <row r="147" ht="12.75" customHeight="1">
      <c r="A147" s="9" t="s">
        <v>683</v>
      </c>
      <c r="B147" s="9" t="s">
        <v>714</v>
      </c>
      <c r="C147" s="9" t="s">
        <v>715</v>
      </c>
      <c r="D147" s="9" t="s">
        <v>429</v>
      </c>
      <c r="E147" s="10">
        <v>16662.0</v>
      </c>
    </row>
    <row r="148" ht="12.75" customHeight="1">
      <c r="A148" s="17" t="s">
        <v>683</v>
      </c>
      <c r="B148" s="17" t="s">
        <v>716</v>
      </c>
      <c r="C148" s="17" t="s">
        <v>717</v>
      </c>
      <c r="D148" s="17" t="s">
        <v>429</v>
      </c>
      <c r="E148" s="18">
        <v>70000.0</v>
      </c>
    </row>
    <row r="149" ht="12.75" customHeight="1">
      <c r="A149" s="9" t="s">
        <v>683</v>
      </c>
      <c r="B149" s="9" t="s">
        <v>718</v>
      </c>
      <c r="C149" s="9" t="s">
        <v>719</v>
      </c>
      <c r="D149" s="9" t="s">
        <v>429</v>
      </c>
      <c r="E149" s="10">
        <v>50000.0</v>
      </c>
    </row>
    <row r="150" ht="12.75" customHeight="1">
      <c r="A150" s="17" t="s">
        <v>683</v>
      </c>
      <c r="B150" s="17" t="s">
        <v>718</v>
      </c>
      <c r="C150" s="17" t="s">
        <v>720</v>
      </c>
      <c r="D150" s="17" t="s">
        <v>429</v>
      </c>
      <c r="E150" s="18">
        <v>50000.0</v>
      </c>
    </row>
    <row r="151" ht="12.75" customHeight="1">
      <c r="A151" s="9" t="s">
        <v>721</v>
      </c>
      <c r="B151" s="9" t="s">
        <v>722</v>
      </c>
      <c r="C151" s="9" t="s">
        <v>723</v>
      </c>
      <c r="D151" s="9" t="s">
        <v>431</v>
      </c>
      <c r="E151" s="10">
        <v>5000.0</v>
      </c>
    </row>
    <row r="152" ht="12.75" customHeight="1">
      <c r="A152" s="17" t="s">
        <v>724</v>
      </c>
      <c r="B152" s="17" t="s">
        <v>725</v>
      </c>
      <c r="C152" s="17" t="s">
        <v>726</v>
      </c>
      <c r="D152" s="17" t="s">
        <v>431</v>
      </c>
      <c r="E152" s="18">
        <v>5000.0</v>
      </c>
    </row>
    <row r="153" ht="12.75" customHeight="1">
      <c r="A153" s="17" t="s">
        <v>727</v>
      </c>
      <c r="B153" s="17" t="s">
        <v>675</v>
      </c>
      <c r="C153" s="17" t="s">
        <v>728</v>
      </c>
      <c r="D153" s="17" t="s">
        <v>431</v>
      </c>
      <c r="E153" s="18">
        <v>5000.0</v>
      </c>
    </row>
    <row r="154" ht="12.75" customHeight="1">
      <c r="A154" s="17" t="s">
        <v>727</v>
      </c>
      <c r="B154" s="17" t="s">
        <v>675</v>
      </c>
      <c r="C154" s="17" t="s">
        <v>729</v>
      </c>
      <c r="D154" s="17" t="s">
        <v>431</v>
      </c>
      <c r="E154" s="18">
        <v>5000.0</v>
      </c>
    </row>
    <row r="155" ht="12.75" customHeight="1">
      <c r="A155" s="17" t="s">
        <v>730</v>
      </c>
      <c r="B155" s="17" t="s">
        <v>578</v>
      </c>
      <c r="C155" s="17" t="s">
        <v>731</v>
      </c>
      <c r="D155" s="17" t="s">
        <v>431</v>
      </c>
      <c r="E155" s="18">
        <v>5000.0</v>
      </c>
    </row>
    <row r="156" ht="12.75" customHeight="1">
      <c r="A156" s="17" t="s">
        <v>732</v>
      </c>
      <c r="B156" s="17" t="s">
        <v>672</v>
      </c>
      <c r="C156" s="17" t="s">
        <v>733</v>
      </c>
      <c r="D156" s="17" t="s">
        <v>431</v>
      </c>
      <c r="E156" s="18">
        <v>5000.0</v>
      </c>
    </row>
    <row r="157" ht="12.75" customHeight="1">
      <c r="A157" s="9" t="s">
        <v>734</v>
      </c>
      <c r="B157" s="9" t="s">
        <v>735</v>
      </c>
      <c r="C157" s="9" t="s">
        <v>736</v>
      </c>
      <c r="D157" s="9" t="s">
        <v>431</v>
      </c>
      <c r="E157" s="10">
        <v>10000.0</v>
      </c>
    </row>
    <row r="158" ht="12.75" customHeight="1">
      <c r="A158" s="9" t="s">
        <v>734</v>
      </c>
      <c r="B158" s="9" t="s">
        <v>737</v>
      </c>
      <c r="C158" s="9" t="s">
        <v>738</v>
      </c>
      <c r="D158" s="9" t="s">
        <v>431</v>
      </c>
      <c r="E158" s="10">
        <v>5000.0</v>
      </c>
    </row>
    <row r="159" ht="12.75" customHeight="1">
      <c r="A159" s="9" t="s">
        <v>739</v>
      </c>
      <c r="B159" s="9" t="s">
        <v>678</v>
      </c>
      <c r="C159" s="9" t="s">
        <v>740</v>
      </c>
      <c r="D159" s="9" t="s">
        <v>431</v>
      </c>
      <c r="E159" s="10">
        <v>10000.0</v>
      </c>
    </row>
    <row r="160" ht="12.75" customHeight="1">
      <c r="A160" s="9" t="s">
        <v>741</v>
      </c>
      <c r="B160" s="9" t="s">
        <v>722</v>
      </c>
      <c r="C160" s="9" t="s">
        <v>742</v>
      </c>
      <c r="D160" s="9" t="s">
        <v>431</v>
      </c>
      <c r="E160" s="10">
        <v>5000.0</v>
      </c>
    </row>
    <row r="161" ht="12.75" customHeight="1">
      <c r="A161" s="9" t="s">
        <v>743</v>
      </c>
      <c r="B161" s="9" t="s">
        <v>672</v>
      </c>
      <c r="C161" s="9" t="s">
        <v>744</v>
      </c>
      <c r="D161" s="9" t="s">
        <v>431</v>
      </c>
      <c r="E161" s="10">
        <v>5000.0</v>
      </c>
    </row>
    <row r="162" ht="12.75" customHeight="1">
      <c r="A162" s="17" t="s">
        <v>745</v>
      </c>
      <c r="B162" s="17" t="s">
        <v>746</v>
      </c>
      <c r="C162" s="17" t="s">
        <v>747</v>
      </c>
      <c r="D162" s="17" t="s">
        <v>431</v>
      </c>
      <c r="E162" s="18">
        <v>5000.0</v>
      </c>
    </row>
    <row r="163" ht="12.75" customHeight="1">
      <c r="A163" s="17" t="s">
        <v>745</v>
      </c>
      <c r="B163" s="17" t="s">
        <v>748</v>
      </c>
      <c r="C163" s="17" t="s">
        <v>749</v>
      </c>
      <c r="D163" s="17" t="s">
        <v>431</v>
      </c>
      <c r="E163" s="18">
        <v>5000.0</v>
      </c>
    </row>
    <row r="164" ht="12.75" customHeight="1">
      <c r="A164" s="9" t="s">
        <v>750</v>
      </c>
      <c r="B164" s="9" t="s">
        <v>751</v>
      </c>
      <c r="C164" s="9" t="s">
        <v>752</v>
      </c>
      <c r="D164" s="9" t="s">
        <v>431</v>
      </c>
      <c r="E164" s="10">
        <v>5000.0</v>
      </c>
    </row>
    <row r="165" ht="12.75" customHeight="1">
      <c r="A165" s="17" t="s">
        <v>753</v>
      </c>
      <c r="B165" s="17" t="s">
        <v>675</v>
      </c>
      <c r="C165" s="17" t="s">
        <v>754</v>
      </c>
      <c r="D165" s="17" t="s">
        <v>431</v>
      </c>
      <c r="E165" s="18">
        <v>5000.0</v>
      </c>
    </row>
    <row r="166" ht="12.75" customHeight="1">
      <c r="A166" s="9" t="s">
        <v>755</v>
      </c>
      <c r="B166" s="9" t="s">
        <v>578</v>
      </c>
      <c r="C166" s="9" t="s">
        <v>756</v>
      </c>
      <c r="D166" s="9" t="s">
        <v>431</v>
      </c>
      <c r="E166" s="10">
        <v>5000.0</v>
      </c>
    </row>
    <row r="167" ht="12.75" customHeight="1">
      <c r="A167" s="9" t="s">
        <v>757</v>
      </c>
      <c r="B167" s="9" t="s">
        <v>758</v>
      </c>
      <c r="C167" s="9" t="s">
        <v>759</v>
      </c>
      <c r="D167" s="9" t="s">
        <v>431</v>
      </c>
      <c r="E167" s="10">
        <v>5000.0</v>
      </c>
    </row>
    <row r="168" ht="12.75" customHeight="1">
      <c r="A168" s="9" t="s">
        <v>760</v>
      </c>
      <c r="B168" s="9" t="s">
        <v>761</v>
      </c>
      <c r="C168" s="9" t="s">
        <v>762</v>
      </c>
      <c r="D168" s="9" t="s">
        <v>429</v>
      </c>
      <c r="E168" s="10">
        <v>5100.0</v>
      </c>
    </row>
    <row r="169" ht="12.75" customHeight="1">
      <c r="A169" s="17" t="s">
        <v>760</v>
      </c>
      <c r="B169" s="17" t="s">
        <v>565</v>
      </c>
      <c r="C169" s="17" t="s">
        <v>763</v>
      </c>
      <c r="D169" s="17" t="s">
        <v>429</v>
      </c>
      <c r="E169" s="18">
        <v>14000.0</v>
      </c>
    </row>
    <row r="170" ht="12.75" customHeight="1">
      <c r="A170" s="9" t="s">
        <v>760</v>
      </c>
      <c r="B170" s="9" t="s">
        <v>565</v>
      </c>
      <c r="C170" s="9" t="s">
        <v>764</v>
      </c>
      <c r="D170" s="9" t="s">
        <v>429</v>
      </c>
      <c r="E170" s="10">
        <v>2200.0</v>
      </c>
    </row>
    <row r="171" ht="12.75" customHeight="1">
      <c r="A171" s="17" t="s">
        <v>760</v>
      </c>
      <c r="B171" s="17" t="s">
        <v>765</v>
      </c>
      <c r="C171" s="17" t="s">
        <v>766</v>
      </c>
      <c r="D171" s="17" t="s">
        <v>429</v>
      </c>
      <c r="E171" s="18">
        <v>14000.0</v>
      </c>
    </row>
    <row r="172" ht="12.75" customHeight="1">
      <c r="A172" s="9" t="s">
        <v>760</v>
      </c>
      <c r="B172" s="9" t="s">
        <v>397</v>
      </c>
      <c r="C172" s="9" t="s">
        <v>767</v>
      </c>
      <c r="D172" s="9" t="s">
        <v>429</v>
      </c>
      <c r="E172" s="10">
        <v>14000.0</v>
      </c>
    </row>
    <row r="173" ht="12.75" customHeight="1">
      <c r="A173" s="17" t="s">
        <v>760</v>
      </c>
      <c r="B173" s="17" t="s">
        <v>275</v>
      </c>
      <c r="C173" s="17" t="s">
        <v>768</v>
      </c>
      <c r="D173" s="17" t="s">
        <v>429</v>
      </c>
      <c r="E173" s="18">
        <v>42000.0</v>
      </c>
    </row>
    <row r="174" ht="12.75" customHeight="1">
      <c r="A174" s="9" t="s">
        <v>760</v>
      </c>
      <c r="B174" s="9" t="s">
        <v>275</v>
      </c>
      <c r="C174" s="9" t="s">
        <v>769</v>
      </c>
      <c r="D174" s="9" t="s">
        <v>429</v>
      </c>
      <c r="E174" s="10">
        <v>14000.0</v>
      </c>
    </row>
    <row r="175" ht="12.75" customHeight="1">
      <c r="A175" s="17" t="s">
        <v>760</v>
      </c>
      <c r="B175" s="17" t="s">
        <v>397</v>
      </c>
      <c r="C175" s="17" t="s">
        <v>770</v>
      </c>
      <c r="D175" s="17" t="s">
        <v>429</v>
      </c>
      <c r="E175" s="18">
        <v>14000.0</v>
      </c>
    </row>
    <row r="176" ht="12.75" customHeight="1">
      <c r="A176" s="17" t="s">
        <v>771</v>
      </c>
      <c r="B176" s="17" t="s">
        <v>725</v>
      </c>
      <c r="C176" s="17" t="s">
        <v>772</v>
      </c>
      <c r="D176" s="17" t="s">
        <v>431</v>
      </c>
      <c r="E176" s="18">
        <v>5000.0</v>
      </c>
    </row>
    <row r="177" ht="12.75" customHeight="1">
      <c r="A177" s="9" t="s">
        <v>773</v>
      </c>
      <c r="B177" s="9" t="s">
        <v>774</v>
      </c>
      <c r="C177" s="9" t="s">
        <v>775</v>
      </c>
      <c r="D177" s="9" t="s">
        <v>431</v>
      </c>
      <c r="E177" s="10">
        <v>10000.0</v>
      </c>
    </row>
    <row r="178" ht="12.75" customHeight="1">
      <c r="A178" s="17" t="s">
        <v>776</v>
      </c>
      <c r="B178" s="17" t="s">
        <v>722</v>
      </c>
      <c r="C178" s="17" t="s">
        <v>777</v>
      </c>
      <c r="D178" s="17" t="s">
        <v>431</v>
      </c>
      <c r="E178" s="18">
        <v>5000.0</v>
      </c>
    </row>
    <row r="179" ht="12.75" customHeight="1">
      <c r="A179" s="17" t="s">
        <v>778</v>
      </c>
      <c r="B179" s="17" t="s">
        <v>779</v>
      </c>
      <c r="C179" s="17" t="s">
        <v>780</v>
      </c>
      <c r="D179" s="17" t="s">
        <v>431</v>
      </c>
      <c r="E179" s="18">
        <v>5000.0</v>
      </c>
    </row>
    <row r="180" ht="12.75" customHeight="1">
      <c r="A180" s="17" t="s">
        <v>781</v>
      </c>
      <c r="B180" s="17" t="s">
        <v>725</v>
      </c>
      <c r="C180" s="17" t="s">
        <v>782</v>
      </c>
      <c r="D180" s="17" t="s">
        <v>431</v>
      </c>
      <c r="E180" s="18">
        <v>5000.0</v>
      </c>
    </row>
    <row r="181" ht="12.75" customHeight="1">
      <c r="A181" s="17" t="s">
        <v>781</v>
      </c>
      <c r="B181" s="17" t="s">
        <v>725</v>
      </c>
      <c r="C181" s="17" t="s">
        <v>783</v>
      </c>
      <c r="D181" s="17" t="s">
        <v>431</v>
      </c>
      <c r="E181" s="18">
        <v>5000.0</v>
      </c>
    </row>
    <row r="182" ht="12.75" customHeight="1">
      <c r="A182" s="9" t="s">
        <v>784</v>
      </c>
      <c r="B182" s="9" t="s">
        <v>785</v>
      </c>
      <c r="C182" s="9" t="s">
        <v>786</v>
      </c>
      <c r="D182" s="9" t="s">
        <v>429</v>
      </c>
      <c r="E182" s="10">
        <v>1200.0</v>
      </c>
    </row>
    <row r="183" ht="12.75" customHeight="1">
      <c r="A183" s="17" t="s">
        <v>784</v>
      </c>
      <c r="B183" s="17" t="s">
        <v>787</v>
      </c>
      <c r="C183" s="17" t="s">
        <v>788</v>
      </c>
      <c r="D183" s="17" t="s">
        <v>429</v>
      </c>
      <c r="E183" s="18">
        <v>34472.0</v>
      </c>
    </row>
    <row r="184" ht="12.75" customHeight="1">
      <c r="A184" s="17" t="s">
        <v>784</v>
      </c>
      <c r="B184" s="17" t="s">
        <v>789</v>
      </c>
      <c r="C184" s="17" t="s">
        <v>790</v>
      </c>
      <c r="D184" s="17" t="s">
        <v>429</v>
      </c>
      <c r="E184" s="18">
        <v>2240.0</v>
      </c>
    </row>
    <row r="185" ht="12.75" customHeight="1">
      <c r="A185" s="9" t="s">
        <v>784</v>
      </c>
      <c r="B185" s="9" t="s">
        <v>791</v>
      </c>
      <c r="C185" s="9" t="s">
        <v>792</v>
      </c>
      <c r="D185" s="9" t="s">
        <v>429</v>
      </c>
      <c r="E185" s="10">
        <v>54400.0</v>
      </c>
    </row>
    <row r="186" ht="12.75" customHeight="1">
      <c r="A186" s="17" t="s">
        <v>784</v>
      </c>
      <c r="B186" s="17" t="s">
        <v>791</v>
      </c>
      <c r="C186" s="17" t="s">
        <v>793</v>
      </c>
      <c r="D186" s="17" t="s">
        <v>429</v>
      </c>
      <c r="E186" s="18">
        <v>54500.0</v>
      </c>
    </row>
    <row r="187" ht="12.75" customHeight="1">
      <c r="A187" s="9" t="s">
        <v>784</v>
      </c>
      <c r="B187" s="9" t="s">
        <v>794</v>
      </c>
      <c r="C187" s="9" t="s">
        <v>795</v>
      </c>
      <c r="D187" s="9" t="s">
        <v>429</v>
      </c>
      <c r="E187" s="10">
        <v>1600.0</v>
      </c>
    </row>
    <row r="188" ht="12.75" customHeight="1">
      <c r="A188" s="17" t="s">
        <v>784</v>
      </c>
      <c r="B188" s="17" t="s">
        <v>397</v>
      </c>
      <c r="C188" s="17" t="s">
        <v>796</v>
      </c>
      <c r="D188" s="17" t="s">
        <v>429</v>
      </c>
      <c r="E188" s="18">
        <v>14000.0</v>
      </c>
    </row>
    <row r="189" ht="12.75" customHeight="1">
      <c r="A189" s="9" t="s">
        <v>784</v>
      </c>
      <c r="B189" s="9" t="s">
        <v>797</v>
      </c>
      <c r="C189" s="9" t="s">
        <v>798</v>
      </c>
      <c r="D189" s="9" t="s">
        <v>429</v>
      </c>
      <c r="E189" s="10">
        <v>1000.0</v>
      </c>
    </row>
    <row r="190" ht="12.75" customHeight="1">
      <c r="A190" s="17" t="s">
        <v>784</v>
      </c>
      <c r="B190" s="17" t="s">
        <v>275</v>
      </c>
      <c r="C190" s="17" t="s">
        <v>799</v>
      </c>
      <c r="D190" s="17" t="s">
        <v>429</v>
      </c>
      <c r="E190" s="18">
        <v>7000.0</v>
      </c>
    </row>
    <row r="191" ht="12.75" customHeight="1">
      <c r="A191" s="9" t="s">
        <v>784</v>
      </c>
      <c r="B191" s="9" t="s">
        <v>275</v>
      </c>
      <c r="C191" s="9" t="s">
        <v>800</v>
      </c>
      <c r="D191" s="9" t="s">
        <v>429</v>
      </c>
      <c r="E191" s="10">
        <v>6000.0</v>
      </c>
    </row>
    <row r="192" ht="12.75" customHeight="1">
      <c r="A192" s="17" t="s">
        <v>784</v>
      </c>
      <c r="B192" s="17" t="s">
        <v>36</v>
      </c>
      <c r="C192" s="17" t="s">
        <v>801</v>
      </c>
      <c r="D192" s="17" t="s">
        <v>429</v>
      </c>
      <c r="E192" s="18">
        <v>10496.0</v>
      </c>
    </row>
    <row r="193" ht="12.75" customHeight="1">
      <c r="A193" s="9" t="s">
        <v>784</v>
      </c>
      <c r="B193" s="9" t="s">
        <v>802</v>
      </c>
      <c r="C193" s="9" t="s">
        <v>803</v>
      </c>
      <c r="D193" s="9" t="s">
        <v>429</v>
      </c>
      <c r="E193" s="10">
        <v>10752.0</v>
      </c>
    </row>
    <row r="194" ht="12.75" customHeight="1">
      <c r="A194" s="9" t="s">
        <v>804</v>
      </c>
      <c r="B194" s="9" t="s">
        <v>725</v>
      </c>
      <c r="C194" s="9" t="s">
        <v>805</v>
      </c>
      <c r="D194" s="9" t="s">
        <v>431</v>
      </c>
      <c r="E194" s="10">
        <v>5000.0</v>
      </c>
    </row>
    <row r="195" ht="12.75" customHeight="1">
      <c r="A195" s="9" t="s">
        <v>806</v>
      </c>
      <c r="B195" s="9" t="s">
        <v>807</v>
      </c>
      <c r="C195" s="9" t="s">
        <v>808</v>
      </c>
      <c r="D195" s="9" t="s">
        <v>431</v>
      </c>
      <c r="E195" s="10">
        <v>5000.0</v>
      </c>
    </row>
    <row r="196" ht="12.75" customHeight="1">
      <c r="A196" s="17" t="s">
        <v>809</v>
      </c>
      <c r="B196" s="17" t="s">
        <v>810</v>
      </c>
      <c r="C196" s="17" t="s">
        <v>811</v>
      </c>
      <c r="D196" s="17" t="s">
        <v>431</v>
      </c>
      <c r="E196" s="18">
        <v>5000.0</v>
      </c>
    </row>
    <row r="197" ht="12.75" customHeight="1">
      <c r="A197" s="9" t="s">
        <v>812</v>
      </c>
      <c r="B197" s="9" t="s">
        <v>578</v>
      </c>
      <c r="C197" s="9" t="s">
        <v>813</v>
      </c>
      <c r="D197" s="9" t="s">
        <v>431</v>
      </c>
      <c r="E197" s="10">
        <v>5000.0</v>
      </c>
    </row>
    <row r="198" ht="12.75" customHeight="1">
      <c r="A198" s="9" t="s">
        <v>814</v>
      </c>
      <c r="B198" s="9" t="s">
        <v>578</v>
      </c>
      <c r="C198" s="9" t="s">
        <v>815</v>
      </c>
      <c r="D198" s="9" t="s">
        <v>431</v>
      </c>
      <c r="E198" s="10">
        <v>5000.0</v>
      </c>
      <c r="G198" s="19"/>
    </row>
    <row r="199" ht="12.75" customHeight="1">
      <c r="A199" s="17" t="s">
        <v>816</v>
      </c>
      <c r="B199" s="17" t="s">
        <v>547</v>
      </c>
      <c r="C199" s="17" t="s">
        <v>817</v>
      </c>
      <c r="D199" s="17" t="s">
        <v>429</v>
      </c>
      <c r="E199" s="18">
        <v>7000.0</v>
      </c>
    </row>
    <row r="200" ht="12.75" customHeight="1">
      <c r="A200" s="9" t="s">
        <v>816</v>
      </c>
      <c r="B200" s="9" t="s">
        <v>691</v>
      </c>
      <c r="C200" s="9" t="s">
        <v>818</v>
      </c>
      <c r="D200" s="9" t="s">
        <v>429</v>
      </c>
      <c r="E200" s="10">
        <v>1600.0</v>
      </c>
    </row>
    <row r="201" ht="12.75" customHeight="1">
      <c r="A201" s="17" t="s">
        <v>816</v>
      </c>
      <c r="B201" s="17" t="s">
        <v>465</v>
      </c>
      <c r="C201" s="17" t="s">
        <v>819</v>
      </c>
      <c r="D201" s="17" t="s">
        <v>429</v>
      </c>
      <c r="E201" s="18">
        <v>56000.0</v>
      </c>
    </row>
    <row r="202" ht="12.75" customHeight="1">
      <c r="A202" s="9" t="s">
        <v>816</v>
      </c>
      <c r="B202" s="9" t="s">
        <v>802</v>
      </c>
      <c r="C202" s="9" t="s">
        <v>820</v>
      </c>
      <c r="D202" s="9" t="s">
        <v>429</v>
      </c>
      <c r="E202" s="10">
        <v>10752.0</v>
      </c>
    </row>
    <row r="203" ht="12.75" customHeight="1">
      <c r="A203" s="17" t="s">
        <v>821</v>
      </c>
      <c r="B203" s="17" t="s">
        <v>822</v>
      </c>
      <c r="C203" s="17" t="s">
        <v>823</v>
      </c>
      <c r="D203" s="17" t="s">
        <v>431</v>
      </c>
      <c r="E203" s="18">
        <v>15000.0</v>
      </c>
    </row>
    <row r="204" ht="12.75" customHeight="1">
      <c r="A204" s="9" t="s">
        <v>824</v>
      </c>
      <c r="B204" s="9" t="s">
        <v>825</v>
      </c>
      <c r="C204" s="9" t="s">
        <v>826</v>
      </c>
      <c r="D204" s="9" t="s">
        <v>431</v>
      </c>
      <c r="E204" s="10">
        <v>15000.0</v>
      </c>
    </row>
    <row r="205" ht="12.75" customHeight="1">
      <c r="A205" s="9" t="s">
        <v>827</v>
      </c>
      <c r="B205" s="9" t="s">
        <v>828</v>
      </c>
      <c r="C205" s="9" t="s">
        <v>829</v>
      </c>
      <c r="D205" s="9" t="s">
        <v>431</v>
      </c>
      <c r="E205" s="10">
        <v>35000.0</v>
      </c>
    </row>
    <row r="206" ht="12.75" customHeight="1">
      <c r="A206" s="17" t="s">
        <v>830</v>
      </c>
      <c r="B206" s="17" t="s">
        <v>831</v>
      </c>
      <c r="C206" s="17" t="s">
        <v>832</v>
      </c>
      <c r="D206" s="17" t="s">
        <v>431</v>
      </c>
      <c r="E206" s="18">
        <v>10000.0</v>
      </c>
    </row>
    <row r="207" ht="12.75" customHeight="1">
      <c r="A207" s="17" t="s">
        <v>833</v>
      </c>
      <c r="B207" s="17" t="s">
        <v>765</v>
      </c>
      <c r="C207" s="17" t="s">
        <v>834</v>
      </c>
      <c r="D207" s="17" t="s">
        <v>429</v>
      </c>
      <c r="E207" s="18">
        <v>2500.0</v>
      </c>
    </row>
    <row r="208" ht="12.75" customHeight="1">
      <c r="A208" s="9" t="s">
        <v>833</v>
      </c>
      <c r="B208" s="9" t="s">
        <v>691</v>
      </c>
      <c r="C208" s="9" t="s">
        <v>835</v>
      </c>
      <c r="D208" s="9" t="s">
        <v>429</v>
      </c>
      <c r="E208" s="10">
        <v>1768.0</v>
      </c>
    </row>
    <row r="209" ht="12.75" customHeight="1">
      <c r="A209" s="17" t="s">
        <v>833</v>
      </c>
      <c r="B209" s="17" t="s">
        <v>537</v>
      </c>
      <c r="C209" s="17" t="s">
        <v>836</v>
      </c>
      <c r="D209" s="17" t="s">
        <v>429</v>
      </c>
      <c r="E209" s="18">
        <v>5100.0</v>
      </c>
    </row>
    <row r="210" ht="12.75" customHeight="1">
      <c r="A210" s="17" t="s">
        <v>833</v>
      </c>
      <c r="B210" s="17" t="s">
        <v>471</v>
      </c>
      <c r="C210" s="17" t="s">
        <v>837</v>
      </c>
      <c r="D210" s="17" t="s">
        <v>429</v>
      </c>
      <c r="E210" s="18">
        <v>13600.0</v>
      </c>
    </row>
    <row r="211" ht="12.75" customHeight="1">
      <c r="A211" s="9" t="s">
        <v>833</v>
      </c>
      <c r="B211" s="9" t="s">
        <v>293</v>
      </c>
      <c r="C211" s="9" t="s">
        <v>838</v>
      </c>
      <c r="D211" s="9" t="s">
        <v>429</v>
      </c>
      <c r="E211" s="10">
        <v>63000.0</v>
      </c>
    </row>
    <row r="212" ht="12.75" customHeight="1">
      <c r="A212" s="17" t="s">
        <v>833</v>
      </c>
      <c r="B212" s="17" t="s">
        <v>471</v>
      </c>
      <c r="C212" s="17" t="s">
        <v>839</v>
      </c>
      <c r="D212" s="17" t="s">
        <v>429</v>
      </c>
      <c r="E212" s="18">
        <v>3431.0</v>
      </c>
    </row>
    <row r="213" ht="12.75" customHeight="1">
      <c r="A213" s="17" t="s">
        <v>840</v>
      </c>
      <c r="B213" s="17" t="s">
        <v>457</v>
      </c>
      <c r="C213" s="17" t="s">
        <v>841</v>
      </c>
      <c r="D213" s="17" t="s">
        <v>431</v>
      </c>
      <c r="E213" s="18">
        <v>5000.0</v>
      </c>
    </row>
    <row r="214" ht="12.75" customHeight="1">
      <c r="A214" s="17" t="s">
        <v>842</v>
      </c>
      <c r="B214" s="17" t="s">
        <v>843</v>
      </c>
      <c r="C214" s="17" t="s">
        <v>844</v>
      </c>
      <c r="D214" s="17" t="s">
        <v>431</v>
      </c>
      <c r="E214" s="18">
        <v>10000.0</v>
      </c>
    </row>
    <row r="215" ht="12.75" customHeight="1">
      <c r="A215" s="9" t="s">
        <v>845</v>
      </c>
      <c r="B215" s="9" t="s">
        <v>846</v>
      </c>
      <c r="C215" s="9" t="s">
        <v>847</v>
      </c>
      <c r="D215" s="9" t="s">
        <v>431</v>
      </c>
      <c r="E215" s="10">
        <v>5000.0</v>
      </c>
    </row>
    <row r="216" ht="12.75" customHeight="1">
      <c r="A216" s="9" t="s">
        <v>848</v>
      </c>
      <c r="B216" s="9" t="s">
        <v>691</v>
      </c>
      <c r="C216" s="9" t="s">
        <v>849</v>
      </c>
      <c r="D216" s="9" t="s">
        <v>429</v>
      </c>
      <c r="E216" s="10">
        <v>1144.0</v>
      </c>
    </row>
    <row r="217" ht="12.75" customHeight="1">
      <c r="A217" s="17" t="s">
        <v>848</v>
      </c>
      <c r="B217" s="17" t="s">
        <v>850</v>
      </c>
      <c r="C217" s="17" t="s">
        <v>851</v>
      </c>
      <c r="D217" s="17" t="s">
        <v>429</v>
      </c>
      <c r="E217" s="18">
        <v>8650.0</v>
      </c>
    </row>
    <row r="218" ht="12.75" customHeight="1">
      <c r="A218" s="9" t="s">
        <v>848</v>
      </c>
      <c r="B218" s="9" t="s">
        <v>304</v>
      </c>
      <c r="C218" s="9" t="s">
        <v>852</v>
      </c>
      <c r="D218" s="9" t="s">
        <v>429</v>
      </c>
      <c r="E218" s="10">
        <v>1448.0</v>
      </c>
    </row>
    <row r="219" ht="12.75" customHeight="1">
      <c r="A219" s="17" t="s">
        <v>848</v>
      </c>
      <c r="B219" s="17" t="s">
        <v>304</v>
      </c>
      <c r="C219" s="17" t="s">
        <v>853</v>
      </c>
      <c r="D219" s="17" t="s">
        <v>429</v>
      </c>
      <c r="E219" s="18">
        <v>4000.0</v>
      </c>
    </row>
    <row r="220" ht="12.75" customHeight="1">
      <c r="A220" s="9" t="s">
        <v>854</v>
      </c>
      <c r="B220" s="9" t="s">
        <v>855</v>
      </c>
      <c r="C220" s="9" t="s">
        <v>856</v>
      </c>
      <c r="D220" s="9" t="s">
        <v>431</v>
      </c>
      <c r="E220" s="10">
        <v>5000.0</v>
      </c>
    </row>
    <row r="221" ht="12.75" customHeight="1">
      <c r="A221" s="17" t="s">
        <v>857</v>
      </c>
      <c r="B221" s="17" t="s">
        <v>858</v>
      </c>
      <c r="C221" s="17" t="s">
        <v>859</v>
      </c>
      <c r="D221" s="17" t="s">
        <v>431</v>
      </c>
      <c r="E221" s="18">
        <v>5000.0</v>
      </c>
    </row>
    <row r="222" ht="12.75" customHeight="1">
      <c r="A222" s="9" t="s">
        <v>860</v>
      </c>
      <c r="B222" s="9" t="s">
        <v>855</v>
      </c>
      <c r="C222" s="9" t="s">
        <v>861</v>
      </c>
      <c r="D222" s="9" t="s">
        <v>431</v>
      </c>
      <c r="E222" s="10">
        <v>5000.0</v>
      </c>
    </row>
    <row r="223" ht="12.75" customHeight="1">
      <c r="A223" s="9" t="s">
        <v>862</v>
      </c>
      <c r="B223" s="9" t="s">
        <v>863</v>
      </c>
      <c r="C223" s="9" t="s">
        <v>864</v>
      </c>
      <c r="D223" s="9" t="s">
        <v>429</v>
      </c>
      <c r="E223" s="10">
        <v>64000.0</v>
      </c>
    </row>
    <row r="224" ht="12.75" customHeight="1">
      <c r="A224" s="17" t="s">
        <v>862</v>
      </c>
      <c r="B224" s="17" t="s">
        <v>865</v>
      </c>
      <c r="C224" s="17" t="s">
        <v>866</v>
      </c>
      <c r="D224" s="17" t="s">
        <v>429</v>
      </c>
      <c r="E224" s="18">
        <v>6102.0</v>
      </c>
    </row>
    <row r="225" ht="12.75" customHeight="1">
      <c r="A225" s="9" t="s">
        <v>862</v>
      </c>
      <c r="B225" s="9" t="s">
        <v>397</v>
      </c>
      <c r="C225" s="9" t="s">
        <v>867</v>
      </c>
      <c r="D225" s="9" t="s">
        <v>429</v>
      </c>
      <c r="E225" s="10">
        <v>2000.0</v>
      </c>
    </row>
    <row r="226" ht="12.75" customHeight="1">
      <c r="A226" s="17" t="s">
        <v>862</v>
      </c>
      <c r="B226" s="17" t="s">
        <v>397</v>
      </c>
      <c r="C226" s="17" t="s">
        <v>868</v>
      </c>
      <c r="D226" s="17" t="s">
        <v>429</v>
      </c>
      <c r="E226" s="18">
        <v>2000.0</v>
      </c>
    </row>
    <row r="227" ht="12.75" customHeight="1">
      <c r="A227" s="9" t="s">
        <v>862</v>
      </c>
      <c r="B227" s="9" t="s">
        <v>397</v>
      </c>
      <c r="C227" s="9" t="s">
        <v>869</v>
      </c>
      <c r="D227" s="9" t="s">
        <v>429</v>
      </c>
      <c r="E227" s="10">
        <v>27000.0</v>
      </c>
    </row>
    <row r="228" ht="12.75" customHeight="1">
      <c r="A228" s="9" t="s">
        <v>862</v>
      </c>
      <c r="B228" s="9" t="s">
        <v>293</v>
      </c>
      <c r="C228" s="9" t="s">
        <v>870</v>
      </c>
      <c r="D228" s="9" t="s">
        <v>429</v>
      </c>
      <c r="E228" s="10">
        <v>62080.0</v>
      </c>
    </row>
    <row r="229" ht="12.75" customHeight="1">
      <c r="A229" s="17" t="s">
        <v>862</v>
      </c>
      <c r="B229" s="17" t="s">
        <v>871</v>
      </c>
      <c r="C229" s="17" t="s">
        <v>872</v>
      </c>
      <c r="D229" s="17" t="s">
        <v>429</v>
      </c>
      <c r="E229" s="18">
        <v>1000.0</v>
      </c>
    </row>
    <row r="230" ht="12.75" customHeight="1">
      <c r="A230" s="17" t="s">
        <v>862</v>
      </c>
      <c r="B230" s="17" t="s">
        <v>873</v>
      </c>
      <c r="C230" s="17" t="s">
        <v>874</v>
      </c>
      <c r="D230" s="17" t="s">
        <v>429</v>
      </c>
      <c r="E230" s="18">
        <v>30000.0</v>
      </c>
    </row>
    <row r="231" ht="12.75" customHeight="1">
      <c r="A231" s="17" t="s">
        <v>875</v>
      </c>
      <c r="B231" s="17" t="s">
        <v>876</v>
      </c>
      <c r="C231" s="17" t="s">
        <v>877</v>
      </c>
      <c r="D231" s="17" t="s">
        <v>431</v>
      </c>
      <c r="E231" s="18">
        <v>10000.0</v>
      </c>
    </row>
    <row r="232" ht="12.75" customHeight="1">
      <c r="A232" s="17" t="s">
        <v>878</v>
      </c>
      <c r="B232" s="17" t="s">
        <v>608</v>
      </c>
      <c r="C232" s="17" t="s">
        <v>879</v>
      </c>
      <c r="D232" s="17" t="s">
        <v>431</v>
      </c>
      <c r="E232" s="18">
        <v>5000.0</v>
      </c>
    </row>
    <row r="233" ht="12.75" customHeight="1">
      <c r="A233" s="9" t="s">
        <v>880</v>
      </c>
      <c r="B233" s="9" t="s">
        <v>779</v>
      </c>
      <c r="C233" s="9" t="s">
        <v>881</v>
      </c>
      <c r="D233" s="9" t="s">
        <v>431</v>
      </c>
      <c r="E233" s="10">
        <v>5000.0</v>
      </c>
    </row>
    <row r="234" ht="12.75" customHeight="1">
      <c r="A234" s="9" t="s">
        <v>880</v>
      </c>
      <c r="B234" s="9" t="s">
        <v>882</v>
      </c>
      <c r="C234" s="9" t="s">
        <v>883</v>
      </c>
      <c r="D234" s="9" t="s">
        <v>431</v>
      </c>
      <c r="E234" s="10">
        <v>10000.0</v>
      </c>
    </row>
    <row r="235" ht="12.75" customHeight="1">
      <c r="A235" s="17" t="s">
        <v>884</v>
      </c>
      <c r="B235" s="17" t="s">
        <v>885</v>
      </c>
      <c r="C235" s="17" t="s">
        <v>886</v>
      </c>
      <c r="D235" s="17" t="s">
        <v>429</v>
      </c>
      <c r="E235" s="18">
        <v>960.0</v>
      </c>
    </row>
    <row r="236" ht="12.75" customHeight="1">
      <c r="A236" s="9" t="s">
        <v>884</v>
      </c>
      <c r="B236" s="9" t="s">
        <v>887</v>
      </c>
      <c r="C236" s="9" t="s">
        <v>888</v>
      </c>
      <c r="D236" s="9" t="s">
        <v>429</v>
      </c>
      <c r="E236" s="10">
        <v>14000.0</v>
      </c>
    </row>
    <row r="237" ht="12.75" customHeight="1">
      <c r="A237" s="9" t="s">
        <v>884</v>
      </c>
      <c r="B237" s="9" t="s">
        <v>873</v>
      </c>
      <c r="C237" s="9" t="s">
        <v>889</v>
      </c>
      <c r="D237" s="9" t="s">
        <v>429</v>
      </c>
      <c r="E237" s="10">
        <v>28000.0</v>
      </c>
    </row>
    <row r="238" ht="12.75" customHeight="1">
      <c r="A238" s="17" t="s">
        <v>884</v>
      </c>
      <c r="B238" s="17" t="s">
        <v>890</v>
      </c>
      <c r="C238" s="17" t="s">
        <v>891</v>
      </c>
      <c r="D238" s="17" t="s">
        <v>429</v>
      </c>
      <c r="E238" s="18">
        <v>1600.0</v>
      </c>
    </row>
    <row r="239" ht="12.75" customHeight="1">
      <c r="A239" s="17" t="s">
        <v>892</v>
      </c>
      <c r="B239" s="17" t="s">
        <v>893</v>
      </c>
      <c r="C239" s="17" t="s">
        <v>894</v>
      </c>
      <c r="D239" s="17" t="s">
        <v>431</v>
      </c>
      <c r="E239" s="18">
        <v>5000.0</v>
      </c>
    </row>
    <row r="240" ht="12.75" customHeight="1">
      <c r="A240" s="9" t="s">
        <v>895</v>
      </c>
      <c r="B240" s="9" t="s">
        <v>896</v>
      </c>
      <c r="C240" s="9" t="s">
        <v>897</v>
      </c>
      <c r="D240" s="9" t="s">
        <v>431</v>
      </c>
      <c r="E240" s="10">
        <v>5000.0</v>
      </c>
    </row>
    <row r="241" ht="12.75" customHeight="1">
      <c r="A241" s="9" t="s">
        <v>898</v>
      </c>
      <c r="B241" s="9" t="s">
        <v>95</v>
      </c>
      <c r="C241" s="9" t="s">
        <v>899</v>
      </c>
      <c r="D241" s="9" t="s">
        <v>428</v>
      </c>
      <c r="E241" s="10">
        <v>210000.0</v>
      </c>
    </row>
    <row r="242" ht="12.75" customHeight="1">
      <c r="A242" s="9" t="s">
        <v>900</v>
      </c>
      <c r="B242" s="9" t="s">
        <v>901</v>
      </c>
      <c r="C242" s="9" t="s">
        <v>902</v>
      </c>
      <c r="D242" s="9" t="s">
        <v>429</v>
      </c>
      <c r="E242" s="10">
        <v>3200.0</v>
      </c>
    </row>
    <row r="243" ht="12.75" customHeight="1">
      <c r="A243" s="17" t="s">
        <v>903</v>
      </c>
      <c r="B243" s="17" t="s">
        <v>904</v>
      </c>
      <c r="C243" s="17" t="s">
        <v>561</v>
      </c>
      <c r="D243" s="17" t="s">
        <v>431</v>
      </c>
      <c r="E243" s="18">
        <v>15000.0</v>
      </c>
    </row>
    <row r="244" ht="12.75" customHeight="1">
      <c r="A244" s="9" t="s">
        <v>905</v>
      </c>
      <c r="B244" s="9" t="s">
        <v>633</v>
      </c>
      <c r="C244" s="9" t="s">
        <v>558</v>
      </c>
      <c r="D244" s="9" t="s">
        <v>431</v>
      </c>
      <c r="E244" s="10">
        <v>15000.0</v>
      </c>
    </row>
    <row r="245" ht="12.75" customHeight="1">
      <c r="A245" s="9" t="s">
        <v>906</v>
      </c>
      <c r="B245" s="9" t="s">
        <v>457</v>
      </c>
      <c r="C245" s="9" t="s">
        <v>907</v>
      </c>
      <c r="D245" s="9" t="s">
        <v>431</v>
      </c>
      <c r="E245" s="10">
        <v>5000.0</v>
      </c>
    </row>
    <row r="246" ht="12.75" customHeight="1">
      <c r="A246" s="17" t="s">
        <v>908</v>
      </c>
      <c r="B246" s="17" t="s">
        <v>471</v>
      </c>
      <c r="C246" s="17" t="s">
        <v>909</v>
      </c>
      <c r="D246" s="17" t="s">
        <v>429</v>
      </c>
      <c r="E246" s="18">
        <v>2518.0</v>
      </c>
    </row>
    <row r="247" ht="12.75" customHeight="1">
      <c r="A247" s="17" t="s">
        <v>910</v>
      </c>
      <c r="B247" s="17" t="s">
        <v>474</v>
      </c>
      <c r="C247" s="17" t="s">
        <v>911</v>
      </c>
      <c r="D247" s="17" t="s">
        <v>431</v>
      </c>
      <c r="E247" s="18">
        <v>5000.0</v>
      </c>
    </row>
    <row r="248" ht="12.75" customHeight="1">
      <c r="A248" s="17" t="s">
        <v>912</v>
      </c>
      <c r="B248" s="17" t="s">
        <v>332</v>
      </c>
      <c r="C248" s="17" t="s">
        <v>913</v>
      </c>
      <c r="D248" s="17" t="s">
        <v>429</v>
      </c>
      <c r="E248" s="18">
        <v>5100.0</v>
      </c>
    </row>
    <row r="249" ht="12.75" customHeight="1">
      <c r="A249" s="9" t="s">
        <v>914</v>
      </c>
      <c r="B249" s="9" t="s">
        <v>915</v>
      </c>
      <c r="C249" s="9" t="s">
        <v>916</v>
      </c>
      <c r="D249" s="9" t="s">
        <v>431</v>
      </c>
      <c r="E249" s="10">
        <v>5000.0</v>
      </c>
    </row>
    <row r="250" ht="12.75" customHeight="1">
      <c r="A250" s="17" t="s">
        <v>917</v>
      </c>
      <c r="B250" s="17" t="s">
        <v>88</v>
      </c>
      <c r="C250" s="17" t="s">
        <v>918</v>
      </c>
      <c r="D250" s="17" t="s">
        <v>428</v>
      </c>
      <c r="E250" s="18">
        <v>266000.0</v>
      </c>
      <c r="F250" s="16"/>
      <c r="G250" s="16"/>
      <c r="H250" s="16"/>
      <c r="I250" s="16"/>
    </row>
    <row r="251" ht="12.75" customHeight="1">
      <c r="A251" s="9" t="s">
        <v>919</v>
      </c>
      <c r="B251" s="9" t="s">
        <v>97</v>
      </c>
      <c r="C251" s="9" t="s">
        <v>920</v>
      </c>
      <c r="D251" s="9" t="s">
        <v>429</v>
      </c>
      <c r="E251" s="10">
        <v>24000.0</v>
      </c>
    </row>
    <row r="252" ht="12.75" customHeight="1">
      <c r="A252" s="17" t="s">
        <v>919</v>
      </c>
      <c r="B252" s="17" t="s">
        <v>97</v>
      </c>
      <c r="C252" s="17" t="s">
        <v>921</v>
      </c>
      <c r="D252" s="17" t="s">
        <v>429</v>
      </c>
      <c r="E252" s="18">
        <v>12000.0</v>
      </c>
    </row>
    <row r="253" ht="12.75" customHeight="1">
      <c r="A253" s="17" t="s">
        <v>919</v>
      </c>
      <c r="B253" s="17" t="s">
        <v>397</v>
      </c>
      <c r="C253" s="17" t="s">
        <v>922</v>
      </c>
      <c r="D253" s="17" t="s">
        <v>429</v>
      </c>
      <c r="E253" s="18">
        <v>2000.0</v>
      </c>
    </row>
    <row r="254" ht="12.75" customHeight="1">
      <c r="A254" s="9" t="s">
        <v>919</v>
      </c>
      <c r="B254" s="9" t="s">
        <v>923</v>
      </c>
      <c r="C254" s="9" t="s">
        <v>924</v>
      </c>
      <c r="D254" s="9" t="s">
        <v>429</v>
      </c>
      <c r="E254" s="10">
        <v>32000.0</v>
      </c>
    </row>
    <row r="255" ht="12.75" customHeight="1">
      <c r="A255" s="9" t="s">
        <v>925</v>
      </c>
      <c r="B255" s="9" t="s">
        <v>807</v>
      </c>
      <c r="C255" s="9" t="s">
        <v>926</v>
      </c>
      <c r="D255" s="9" t="s">
        <v>431</v>
      </c>
      <c r="E255" s="10">
        <v>5000.0</v>
      </c>
    </row>
    <row r="256" ht="12.75" customHeight="1">
      <c r="A256" s="9" t="s">
        <v>927</v>
      </c>
      <c r="B256" s="9" t="s">
        <v>340</v>
      </c>
      <c r="C256" s="9" t="s">
        <v>928</v>
      </c>
      <c r="D256" s="9" t="s">
        <v>429</v>
      </c>
      <c r="E256" s="10">
        <v>1200.0</v>
      </c>
    </row>
    <row r="257" ht="12.75" customHeight="1">
      <c r="A257" s="17" t="s">
        <v>929</v>
      </c>
      <c r="B257" s="17" t="s">
        <v>930</v>
      </c>
      <c r="C257" s="17" t="s">
        <v>931</v>
      </c>
      <c r="D257" s="17" t="s">
        <v>431</v>
      </c>
      <c r="E257" s="18">
        <v>40000.0</v>
      </c>
    </row>
    <row r="258" ht="12.75" customHeight="1">
      <c r="A258" s="17" t="s">
        <v>932</v>
      </c>
      <c r="B258" s="17" t="s">
        <v>933</v>
      </c>
      <c r="C258" s="17" t="s">
        <v>934</v>
      </c>
      <c r="D258" s="17" t="s">
        <v>431</v>
      </c>
      <c r="E258" s="18">
        <v>5000.0</v>
      </c>
    </row>
    <row r="259" ht="12.75" customHeight="1">
      <c r="A259" s="17" t="s">
        <v>935</v>
      </c>
      <c r="B259" s="17" t="s">
        <v>722</v>
      </c>
      <c r="C259" s="17" t="s">
        <v>936</v>
      </c>
      <c r="D259" s="17" t="s">
        <v>431</v>
      </c>
      <c r="E259" s="18">
        <v>5000.0</v>
      </c>
    </row>
    <row r="260" ht="12.75" customHeight="1">
      <c r="A260" s="17" t="s">
        <v>937</v>
      </c>
      <c r="B260" s="17" t="s">
        <v>938</v>
      </c>
      <c r="C260" s="17" t="s">
        <v>939</v>
      </c>
      <c r="D260" s="17" t="s">
        <v>428</v>
      </c>
      <c r="E260" s="18">
        <v>546000.0</v>
      </c>
    </row>
    <row r="261" ht="12.75" customHeight="1">
      <c r="A261" s="9" t="s">
        <v>937</v>
      </c>
      <c r="B261" s="9" t="s">
        <v>938</v>
      </c>
      <c r="C261" s="9" t="s">
        <v>940</v>
      </c>
      <c r="D261" s="9" t="s">
        <v>428</v>
      </c>
      <c r="E261" s="10">
        <v>546000.0</v>
      </c>
    </row>
    <row r="262" ht="12.75" customHeight="1">
      <c r="A262" s="17" t="s">
        <v>937</v>
      </c>
      <c r="B262" s="17" t="s">
        <v>938</v>
      </c>
      <c r="C262" s="17" t="s">
        <v>941</v>
      </c>
      <c r="D262" s="17" t="s">
        <v>428</v>
      </c>
      <c r="E262" s="18">
        <v>336000.0</v>
      </c>
    </row>
    <row r="263" ht="12.75" customHeight="1">
      <c r="A263" s="9" t="s">
        <v>937</v>
      </c>
      <c r="B263" s="9" t="s">
        <v>938</v>
      </c>
      <c r="C263" s="9" t="s">
        <v>942</v>
      </c>
      <c r="D263" s="9" t="s">
        <v>428</v>
      </c>
      <c r="E263" s="10">
        <v>546000.0</v>
      </c>
    </row>
    <row r="264" ht="12.75" customHeight="1">
      <c r="A264" s="17" t="s">
        <v>937</v>
      </c>
      <c r="B264" s="17" t="s">
        <v>938</v>
      </c>
      <c r="C264" s="17" t="s">
        <v>943</v>
      </c>
      <c r="D264" s="17" t="s">
        <v>428</v>
      </c>
      <c r="E264" s="18">
        <v>546000.0</v>
      </c>
    </row>
    <row r="265" ht="12.75" customHeight="1">
      <c r="A265" s="17" t="s">
        <v>944</v>
      </c>
      <c r="B265" s="17" t="s">
        <v>397</v>
      </c>
      <c r="C265" s="17" t="s">
        <v>945</v>
      </c>
      <c r="D265" s="17" t="s">
        <v>429</v>
      </c>
      <c r="E265" s="18">
        <v>14000.0</v>
      </c>
    </row>
    <row r="266" ht="12.75" customHeight="1">
      <c r="A266" s="9" t="s">
        <v>946</v>
      </c>
      <c r="B266" s="9" t="s">
        <v>722</v>
      </c>
      <c r="C266" s="9" t="s">
        <v>947</v>
      </c>
      <c r="D266" s="9" t="s">
        <v>431</v>
      </c>
      <c r="E266" s="10">
        <v>5000.0</v>
      </c>
    </row>
    <row r="267" ht="12.75" customHeight="1">
      <c r="A267" s="9" t="s">
        <v>948</v>
      </c>
      <c r="B267" s="9" t="s">
        <v>397</v>
      </c>
      <c r="C267" s="9" t="s">
        <v>949</v>
      </c>
      <c r="D267" s="9" t="s">
        <v>429</v>
      </c>
      <c r="E267" s="10">
        <v>14000.0</v>
      </c>
    </row>
    <row r="268" ht="12.75" customHeight="1">
      <c r="A268" s="17" t="s">
        <v>950</v>
      </c>
      <c r="B268" s="17" t="s">
        <v>722</v>
      </c>
      <c r="C268" s="17" t="s">
        <v>951</v>
      </c>
      <c r="D268" s="17" t="s">
        <v>431</v>
      </c>
      <c r="E268" s="18">
        <v>5000.0</v>
      </c>
    </row>
    <row r="269" ht="12.75" customHeight="1">
      <c r="A269" s="17" t="s">
        <v>952</v>
      </c>
      <c r="B269" s="17" t="s">
        <v>397</v>
      </c>
      <c r="C269" s="17" t="s">
        <v>953</v>
      </c>
      <c r="D269" s="17" t="s">
        <v>429</v>
      </c>
      <c r="E269" s="18">
        <v>14000.0</v>
      </c>
    </row>
    <row r="270" ht="12.75" customHeight="1">
      <c r="A270" s="9" t="s">
        <v>954</v>
      </c>
      <c r="B270" s="9" t="s">
        <v>725</v>
      </c>
      <c r="C270" s="9" t="s">
        <v>955</v>
      </c>
      <c r="D270" s="9" t="s">
        <v>431</v>
      </c>
      <c r="E270" s="10">
        <v>5000.0</v>
      </c>
    </row>
    <row r="271" ht="12.75" customHeight="1">
      <c r="A271" s="9" t="s">
        <v>956</v>
      </c>
      <c r="B271" s="9" t="s">
        <v>397</v>
      </c>
      <c r="C271" s="9" t="s">
        <v>957</v>
      </c>
      <c r="D271" s="9" t="s">
        <v>429</v>
      </c>
      <c r="E271" s="10">
        <v>14000.0</v>
      </c>
    </row>
    <row r="272" ht="12.75" customHeight="1">
      <c r="A272" s="17" t="s">
        <v>958</v>
      </c>
      <c r="B272" s="17" t="s">
        <v>578</v>
      </c>
      <c r="C272" s="17" t="s">
        <v>959</v>
      </c>
      <c r="D272" s="17" t="s">
        <v>431</v>
      </c>
      <c r="E272" s="18">
        <v>5000.0</v>
      </c>
    </row>
    <row r="273" ht="12.75" customHeight="1">
      <c r="A273" s="17" t="s">
        <v>960</v>
      </c>
      <c r="B273" s="17" t="s">
        <v>397</v>
      </c>
      <c r="C273" s="17" t="s">
        <v>961</v>
      </c>
      <c r="D273" s="17" t="s">
        <v>429</v>
      </c>
      <c r="E273" s="18">
        <v>7000.0</v>
      </c>
    </row>
    <row r="274" ht="12.75" customHeight="1">
      <c r="A274" s="9" t="s">
        <v>962</v>
      </c>
      <c r="B274" s="9" t="s">
        <v>722</v>
      </c>
      <c r="C274" s="9" t="s">
        <v>963</v>
      </c>
      <c r="D274" s="9" t="s">
        <v>431</v>
      </c>
      <c r="E274" s="10">
        <v>5000.0</v>
      </c>
    </row>
    <row r="275" ht="12.75" customHeight="1">
      <c r="A275" s="9" t="s">
        <v>964</v>
      </c>
      <c r="B275" s="9" t="s">
        <v>397</v>
      </c>
      <c r="C275" s="9" t="s">
        <v>965</v>
      </c>
      <c r="D275" s="9" t="s">
        <v>429</v>
      </c>
      <c r="E275" s="10">
        <v>14000.0</v>
      </c>
    </row>
    <row r="276" ht="12.75" customHeight="1">
      <c r="A276" s="17" t="s">
        <v>966</v>
      </c>
      <c r="B276" s="17" t="s">
        <v>578</v>
      </c>
      <c r="C276" s="17" t="s">
        <v>967</v>
      </c>
      <c r="D276" s="17" t="s">
        <v>431</v>
      </c>
      <c r="E276" s="18">
        <v>5000.0</v>
      </c>
    </row>
    <row r="277" ht="12.75" customHeight="1">
      <c r="A277" s="17" t="s">
        <v>968</v>
      </c>
      <c r="B277" s="17" t="s">
        <v>397</v>
      </c>
      <c r="C277" s="17" t="s">
        <v>969</v>
      </c>
      <c r="D277" s="17" t="s">
        <v>429</v>
      </c>
      <c r="E277" s="18">
        <v>6000.0</v>
      </c>
    </row>
    <row r="278" ht="12.75" customHeight="1">
      <c r="A278" s="9" t="s">
        <v>970</v>
      </c>
      <c r="B278" s="9" t="s">
        <v>457</v>
      </c>
      <c r="C278" s="9" t="s">
        <v>971</v>
      </c>
      <c r="D278" s="9" t="s">
        <v>431</v>
      </c>
      <c r="E278" s="10">
        <v>15000.0</v>
      </c>
    </row>
    <row r="279" ht="12.75" customHeight="1">
      <c r="A279" s="9" t="s">
        <v>972</v>
      </c>
      <c r="B279" s="9" t="s">
        <v>471</v>
      </c>
      <c r="C279" s="9" t="s">
        <v>973</v>
      </c>
      <c r="D279" s="9" t="s">
        <v>429</v>
      </c>
      <c r="E279" s="10">
        <v>7200.0</v>
      </c>
    </row>
    <row r="280" ht="12.75" customHeight="1">
      <c r="A280" s="17" t="s">
        <v>974</v>
      </c>
      <c r="B280" s="17" t="s">
        <v>975</v>
      </c>
      <c r="C280" s="17" t="s">
        <v>976</v>
      </c>
      <c r="D280" s="17" t="s">
        <v>431</v>
      </c>
      <c r="E280" s="18">
        <v>35000.0</v>
      </c>
    </row>
    <row r="281" ht="12.75" customHeight="1">
      <c r="A281" s="9" t="s">
        <v>977</v>
      </c>
      <c r="B281" s="9" t="s">
        <v>978</v>
      </c>
      <c r="C281" s="9" t="s">
        <v>979</v>
      </c>
      <c r="D281" s="9" t="s">
        <v>431</v>
      </c>
      <c r="E281" s="10">
        <v>5000.0</v>
      </c>
    </row>
    <row r="282" ht="12.75" customHeight="1">
      <c r="A282" s="17" t="s">
        <v>980</v>
      </c>
      <c r="B282" s="17" t="s">
        <v>981</v>
      </c>
      <c r="C282" s="17" t="s">
        <v>982</v>
      </c>
      <c r="D282" s="17" t="s">
        <v>429</v>
      </c>
      <c r="E282" s="18">
        <v>14000.0</v>
      </c>
    </row>
    <row r="283" ht="12.75" customHeight="1">
      <c r="A283" s="9" t="s">
        <v>983</v>
      </c>
      <c r="B283" s="9" t="s">
        <v>397</v>
      </c>
      <c r="C283" s="9" t="s">
        <v>984</v>
      </c>
      <c r="D283" s="9" t="s">
        <v>429</v>
      </c>
      <c r="E283" s="10">
        <v>14000.0</v>
      </c>
    </row>
    <row r="284" ht="12.75" customHeight="1">
      <c r="A284" s="17" t="s">
        <v>985</v>
      </c>
      <c r="B284" s="17" t="s">
        <v>199</v>
      </c>
      <c r="C284" s="17" t="s">
        <v>986</v>
      </c>
      <c r="D284" s="17" t="s">
        <v>429</v>
      </c>
      <c r="E284" s="18">
        <v>33600.0</v>
      </c>
    </row>
    <row r="285" ht="12.75" customHeight="1">
      <c r="A285" s="17" t="s">
        <v>987</v>
      </c>
      <c r="B285" s="17" t="s">
        <v>404</v>
      </c>
      <c r="C285" s="17" t="s">
        <v>988</v>
      </c>
      <c r="D285" s="17" t="s">
        <v>431</v>
      </c>
      <c r="E285" s="18">
        <v>15000.0</v>
      </c>
    </row>
    <row r="286" ht="12.75" customHeight="1">
      <c r="A286" s="9" t="s">
        <v>989</v>
      </c>
      <c r="B286" s="9" t="s">
        <v>725</v>
      </c>
      <c r="C286" s="9" t="s">
        <v>990</v>
      </c>
      <c r="D286" s="9" t="s">
        <v>431</v>
      </c>
      <c r="E286" s="10">
        <v>5000.0</v>
      </c>
    </row>
    <row r="287" ht="12.75" customHeight="1">
      <c r="A287" s="17" t="s">
        <v>991</v>
      </c>
      <c r="B287" s="17" t="s">
        <v>992</v>
      </c>
      <c r="C287" s="17" t="s">
        <v>993</v>
      </c>
      <c r="D287" s="17" t="s">
        <v>429</v>
      </c>
      <c r="E287" s="18">
        <v>4000.0</v>
      </c>
    </row>
    <row r="288" ht="12.75" customHeight="1">
      <c r="A288" s="9" t="s">
        <v>991</v>
      </c>
      <c r="B288" s="9" t="s">
        <v>73</v>
      </c>
      <c r="C288" s="9" t="s">
        <v>994</v>
      </c>
      <c r="D288" s="9" t="s">
        <v>429</v>
      </c>
      <c r="E288" s="10">
        <v>30170.0</v>
      </c>
    </row>
    <row r="289" ht="12.75" customHeight="1">
      <c r="A289" s="9" t="s">
        <v>991</v>
      </c>
      <c r="B289" s="9" t="s">
        <v>995</v>
      </c>
      <c r="C289" s="9" t="s">
        <v>996</v>
      </c>
      <c r="D289" s="9" t="s">
        <v>429</v>
      </c>
      <c r="E289" s="10">
        <v>46800.0</v>
      </c>
    </row>
    <row r="290" ht="12.75" customHeight="1">
      <c r="A290" s="17" t="s">
        <v>991</v>
      </c>
      <c r="B290" s="17" t="s">
        <v>995</v>
      </c>
      <c r="C290" s="17" t="s">
        <v>997</v>
      </c>
      <c r="D290" s="17" t="s">
        <v>429</v>
      </c>
      <c r="E290" s="18">
        <v>46800.0</v>
      </c>
    </row>
    <row r="291" ht="12.75" customHeight="1">
      <c r="A291" s="17" t="s">
        <v>998</v>
      </c>
      <c r="B291" s="17" t="s">
        <v>578</v>
      </c>
      <c r="C291" s="17" t="s">
        <v>999</v>
      </c>
      <c r="D291" s="17" t="s">
        <v>431</v>
      </c>
      <c r="E291" s="18">
        <v>5000.0</v>
      </c>
    </row>
    <row r="292" ht="12.75" customHeight="1">
      <c r="A292" s="17" t="s">
        <v>1000</v>
      </c>
      <c r="B292" s="17" t="s">
        <v>397</v>
      </c>
      <c r="C292" s="17" t="s">
        <v>1001</v>
      </c>
      <c r="D292" s="17" t="s">
        <v>429</v>
      </c>
      <c r="E292" s="18">
        <v>7000.0</v>
      </c>
    </row>
    <row r="293" ht="12.75" customHeight="1">
      <c r="A293" s="9" t="s">
        <v>1002</v>
      </c>
      <c r="B293" s="9" t="s">
        <v>722</v>
      </c>
      <c r="C293" s="9" t="s">
        <v>1003</v>
      </c>
      <c r="D293" s="9" t="s">
        <v>431</v>
      </c>
      <c r="E293" s="10">
        <v>5000.0</v>
      </c>
    </row>
    <row r="294" ht="12.75" customHeight="1">
      <c r="A294" s="9" t="s">
        <v>1004</v>
      </c>
      <c r="B294" s="9" t="s">
        <v>397</v>
      </c>
      <c r="C294" s="9" t="s">
        <v>1005</v>
      </c>
      <c r="D294" s="9" t="s">
        <v>429</v>
      </c>
      <c r="E294" s="10">
        <v>14000.0</v>
      </c>
    </row>
    <row r="295" ht="12.75" customHeight="1">
      <c r="A295" s="17" t="s">
        <v>1006</v>
      </c>
      <c r="B295" s="17" t="s">
        <v>725</v>
      </c>
      <c r="C295" s="17" t="s">
        <v>1007</v>
      </c>
      <c r="D295" s="17" t="s">
        <v>431</v>
      </c>
      <c r="E295" s="18">
        <v>5000.0</v>
      </c>
    </row>
    <row r="296" ht="12.75" customHeight="1">
      <c r="A296" s="17" t="s">
        <v>1008</v>
      </c>
      <c r="B296" s="17" t="s">
        <v>397</v>
      </c>
      <c r="C296" s="17" t="s">
        <v>1009</v>
      </c>
      <c r="D296" s="17" t="s">
        <v>429</v>
      </c>
      <c r="E296" s="18">
        <v>14000.0</v>
      </c>
    </row>
    <row r="297" ht="12.75" customHeight="1">
      <c r="A297" s="9" t="s">
        <v>1010</v>
      </c>
      <c r="B297" s="9" t="s">
        <v>1011</v>
      </c>
      <c r="C297" s="9" t="s">
        <v>1012</v>
      </c>
      <c r="D297" s="9" t="s">
        <v>431</v>
      </c>
      <c r="E297" s="10">
        <v>5000.0</v>
      </c>
    </row>
    <row r="298" ht="12.75" customHeight="1">
      <c r="A298" s="9" t="s">
        <v>1013</v>
      </c>
      <c r="B298" s="9" t="s">
        <v>397</v>
      </c>
      <c r="C298" s="9" t="s">
        <v>1014</v>
      </c>
      <c r="D298" s="9" t="s">
        <v>429</v>
      </c>
      <c r="E298" s="10">
        <v>7000.0</v>
      </c>
    </row>
    <row r="299" ht="12.75" customHeight="1">
      <c r="A299" s="9" t="s">
        <v>1015</v>
      </c>
      <c r="B299" s="9" t="s">
        <v>633</v>
      </c>
      <c r="C299" s="9" t="s">
        <v>1016</v>
      </c>
      <c r="D299" s="9" t="s">
        <v>431</v>
      </c>
      <c r="E299" s="10">
        <v>15000.0</v>
      </c>
    </row>
    <row r="300" ht="12.75" customHeight="1">
      <c r="A300" s="9" t="s">
        <v>1017</v>
      </c>
      <c r="B300" s="9" t="s">
        <v>1018</v>
      </c>
      <c r="C300" s="9" t="s">
        <v>1019</v>
      </c>
      <c r="D300" s="9" t="s">
        <v>429</v>
      </c>
      <c r="E300" s="10">
        <v>41600.0</v>
      </c>
    </row>
    <row r="301" ht="12.75" customHeight="1">
      <c r="A301" s="17" t="s">
        <v>1020</v>
      </c>
      <c r="B301" s="17" t="s">
        <v>1021</v>
      </c>
      <c r="C301" s="17" t="s">
        <v>1022</v>
      </c>
      <c r="D301" s="17" t="s">
        <v>431</v>
      </c>
      <c r="E301" s="18">
        <v>25000.0</v>
      </c>
    </row>
    <row r="302" ht="12.75" customHeight="1">
      <c r="A302" s="17" t="s">
        <v>1023</v>
      </c>
      <c r="B302" s="17" t="s">
        <v>578</v>
      </c>
      <c r="C302" s="17" t="s">
        <v>1024</v>
      </c>
      <c r="D302" s="17" t="s">
        <v>431</v>
      </c>
      <c r="E302" s="18">
        <v>5000.0</v>
      </c>
    </row>
    <row r="303" ht="12.75" customHeight="1">
      <c r="A303" s="9" t="s">
        <v>1025</v>
      </c>
      <c r="B303" s="9" t="s">
        <v>1026</v>
      </c>
      <c r="C303" s="9" t="s">
        <v>1027</v>
      </c>
      <c r="D303" s="9" t="s">
        <v>431</v>
      </c>
      <c r="E303" s="10">
        <v>10000.0</v>
      </c>
    </row>
    <row r="304" ht="12.75" customHeight="1">
      <c r="A304" s="17" t="s">
        <v>1028</v>
      </c>
      <c r="B304" s="17" t="s">
        <v>873</v>
      </c>
      <c r="C304" s="17" t="s">
        <v>1029</v>
      </c>
      <c r="D304" s="17" t="s">
        <v>429</v>
      </c>
      <c r="E304" s="18">
        <v>30000.0</v>
      </c>
    </row>
    <row r="305" ht="12.75" customHeight="1">
      <c r="A305" s="9" t="s">
        <v>1030</v>
      </c>
      <c r="B305" s="9" t="s">
        <v>1031</v>
      </c>
      <c r="C305" s="9" t="s">
        <v>1032</v>
      </c>
      <c r="D305" s="9" t="s">
        <v>429</v>
      </c>
      <c r="E305" s="10">
        <v>2526.0</v>
      </c>
    </row>
    <row r="306" ht="12.75" customHeight="1">
      <c r="A306" s="9" t="s">
        <v>1033</v>
      </c>
      <c r="B306" s="9" t="s">
        <v>722</v>
      </c>
      <c r="C306" s="9" t="s">
        <v>1034</v>
      </c>
      <c r="D306" s="9" t="s">
        <v>431</v>
      </c>
      <c r="E306" s="10">
        <v>5000.0</v>
      </c>
    </row>
    <row r="307" ht="12.75" customHeight="1">
      <c r="A307" s="17" t="s">
        <v>1035</v>
      </c>
      <c r="B307" s="17" t="s">
        <v>397</v>
      </c>
      <c r="C307" s="17" t="s">
        <v>1036</v>
      </c>
      <c r="D307" s="17" t="s">
        <v>429</v>
      </c>
      <c r="E307" s="18">
        <v>7000.0</v>
      </c>
    </row>
    <row r="308" ht="12.75" customHeight="1">
      <c r="A308" s="9" t="s">
        <v>1037</v>
      </c>
      <c r="B308" s="9" t="s">
        <v>397</v>
      </c>
      <c r="C308" s="9" t="s">
        <v>1038</v>
      </c>
      <c r="D308" s="9" t="s">
        <v>429</v>
      </c>
      <c r="E308" s="10">
        <v>14000.0</v>
      </c>
    </row>
    <row r="309" ht="12.75" customHeight="1">
      <c r="A309" s="17" t="s">
        <v>1039</v>
      </c>
      <c r="B309" s="17" t="s">
        <v>404</v>
      </c>
      <c r="C309" s="17" t="s">
        <v>1040</v>
      </c>
      <c r="D309" s="17" t="s">
        <v>431</v>
      </c>
      <c r="E309" s="18">
        <v>5000.0</v>
      </c>
    </row>
    <row r="310" ht="12.75" customHeight="1">
      <c r="A310" s="17" t="s">
        <v>1041</v>
      </c>
      <c r="B310" s="17" t="s">
        <v>578</v>
      </c>
      <c r="C310" s="17" t="s">
        <v>1042</v>
      </c>
      <c r="D310" s="17" t="s">
        <v>431</v>
      </c>
      <c r="E310" s="18">
        <v>5000.0</v>
      </c>
    </row>
    <row r="311" ht="12.75" customHeight="1">
      <c r="A311" s="17" t="s">
        <v>1043</v>
      </c>
      <c r="B311" s="17" t="s">
        <v>397</v>
      </c>
      <c r="C311" s="17" t="s">
        <v>1044</v>
      </c>
      <c r="D311" s="17" t="s">
        <v>429</v>
      </c>
      <c r="E311" s="18">
        <v>6000.0</v>
      </c>
    </row>
    <row r="312" ht="12.75" customHeight="1">
      <c r="A312" s="9" t="s">
        <v>1045</v>
      </c>
      <c r="B312" s="9" t="s">
        <v>725</v>
      </c>
      <c r="C312" s="9" t="s">
        <v>1046</v>
      </c>
      <c r="D312" s="9" t="s">
        <v>431</v>
      </c>
      <c r="E312" s="10">
        <v>5000.0</v>
      </c>
    </row>
    <row r="313" ht="12.75" customHeight="1">
      <c r="A313" s="9" t="s">
        <v>1047</v>
      </c>
      <c r="B313" s="9" t="s">
        <v>397</v>
      </c>
      <c r="C313" s="9" t="s">
        <v>1048</v>
      </c>
      <c r="D313" s="9" t="s">
        <v>429</v>
      </c>
      <c r="E313" s="10">
        <v>14000.0</v>
      </c>
    </row>
    <row r="314" ht="12.75" customHeight="1">
      <c r="A314" s="9" t="s">
        <v>1049</v>
      </c>
      <c r="B314" s="9" t="s">
        <v>941</v>
      </c>
      <c r="C314" s="9" t="s">
        <v>1050</v>
      </c>
      <c r="D314" s="9" t="s">
        <v>427</v>
      </c>
      <c r="E314" s="10">
        <v>30000.0</v>
      </c>
    </row>
    <row r="315" ht="12.75" customHeight="1">
      <c r="A315" s="17" t="s">
        <v>1051</v>
      </c>
      <c r="B315" s="17" t="s">
        <v>1052</v>
      </c>
      <c r="C315" s="17" t="s">
        <v>1053</v>
      </c>
      <c r="D315" s="17" t="s">
        <v>431</v>
      </c>
      <c r="E315" s="18">
        <v>5000.0</v>
      </c>
    </row>
    <row r="316" ht="12.75" customHeight="1">
      <c r="A316" s="17" t="s">
        <v>1054</v>
      </c>
      <c r="B316" s="17" t="s">
        <v>941</v>
      </c>
      <c r="C316" s="17" t="s">
        <v>1055</v>
      </c>
      <c r="D316" s="17" t="s">
        <v>427</v>
      </c>
      <c r="E316" s="18">
        <v>10000.0</v>
      </c>
    </row>
    <row r="317" ht="12.75" customHeight="1">
      <c r="A317" s="9" t="s">
        <v>1056</v>
      </c>
      <c r="B317" s="9" t="s">
        <v>1057</v>
      </c>
      <c r="C317" s="9" t="s">
        <v>1058</v>
      </c>
      <c r="D317" s="9" t="s">
        <v>431</v>
      </c>
      <c r="E317" s="10">
        <v>5000.0</v>
      </c>
    </row>
    <row r="318" ht="12.75" customHeight="1">
      <c r="A318" s="9" t="s">
        <v>1059</v>
      </c>
      <c r="B318" s="9" t="s">
        <v>722</v>
      </c>
      <c r="C318" s="9" t="s">
        <v>1060</v>
      </c>
      <c r="D318" s="9" t="s">
        <v>431</v>
      </c>
      <c r="E318" s="10">
        <v>5000.0</v>
      </c>
    </row>
    <row r="319" ht="12.75" customHeight="1">
      <c r="A319" s="9" t="s">
        <v>1061</v>
      </c>
      <c r="B319" s="9" t="s">
        <v>397</v>
      </c>
      <c r="C319" s="9" t="s">
        <v>1062</v>
      </c>
      <c r="D319" s="9" t="s">
        <v>429</v>
      </c>
      <c r="E319" s="10">
        <v>14000.0</v>
      </c>
    </row>
    <row r="320" ht="12.75" customHeight="1">
      <c r="A320" s="17" t="s">
        <v>1063</v>
      </c>
      <c r="B320" s="17" t="s">
        <v>578</v>
      </c>
      <c r="C320" s="17" t="s">
        <v>1064</v>
      </c>
      <c r="D320" s="17" t="s">
        <v>431</v>
      </c>
      <c r="E320" s="18">
        <v>5000.0</v>
      </c>
    </row>
    <row r="321" ht="12.75" customHeight="1">
      <c r="A321" s="17" t="s">
        <v>1065</v>
      </c>
      <c r="B321" s="17" t="s">
        <v>397</v>
      </c>
      <c r="C321" s="17" t="s">
        <v>1066</v>
      </c>
      <c r="D321" s="17" t="s">
        <v>429</v>
      </c>
      <c r="E321" s="18">
        <v>7000.0</v>
      </c>
    </row>
    <row r="322" ht="12.75" customHeight="1">
      <c r="A322" s="17" t="s">
        <v>1067</v>
      </c>
      <c r="B322" s="17" t="s">
        <v>578</v>
      </c>
      <c r="C322" s="17" t="s">
        <v>1068</v>
      </c>
      <c r="D322" s="17" t="s">
        <v>431</v>
      </c>
      <c r="E322" s="18">
        <v>5000.0</v>
      </c>
    </row>
    <row r="323" ht="12.75" customHeight="1">
      <c r="A323" s="17" t="s">
        <v>1069</v>
      </c>
      <c r="B323" s="17" t="s">
        <v>397</v>
      </c>
      <c r="C323" s="17" t="s">
        <v>1070</v>
      </c>
      <c r="D323" s="17" t="s">
        <v>429</v>
      </c>
      <c r="E323" s="18">
        <v>7000.0</v>
      </c>
    </row>
    <row r="324" ht="12.75" customHeight="1">
      <c r="A324" s="9" t="s">
        <v>1071</v>
      </c>
      <c r="B324" s="9" t="s">
        <v>1072</v>
      </c>
      <c r="C324" s="9" t="s">
        <v>1073</v>
      </c>
      <c r="D324" s="9" t="s">
        <v>431</v>
      </c>
      <c r="E324" s="10">
        <v>5000.0</v>
      </c>
    </row>
    <row r="325" ht="12.75" customHeight="1">
      <c r="A325" s="9" t="s">
        <v>1074</v>
      </c>
      <c r="B325" s="9" t="s">
        <v>397</v>
      </c>
      <c r="C325" s="9" t="s">
        <v>1075</v>
      </c>
      <c r="D325" s="9" t="s">
        <v>429</v>
      </c>
      <c r="E325" s="10">
        <v>7000.0</v>
      </c>
    </row>
    <row r="326" ht="12.75" customHeight="1">
      <c r="A326" s="17" t="s">
        <v>1076</v>
      </c>
      <c r="B326" s="17" t="s">
        <v>725</v>
      </c>
      <c r="C326" s="17" t="s">
        <v>1077</v>
      </c>
      <c r="D326" s="17" t="s">
        <v>431</v>
      </c>
      <c r="E326" s="18">
        <v>5000.0</v>
      </c>
    </row>
    <row r="327" ht="12.75" customHeight="1">
      <c r="A327" s="17" t="s">
        <v>1078</v>
      </c>
      <c r="B327" s="17" t="s">
        <v>397</v>
      </c>
      <c r="C327" s="17" t="s">
        <v>1079</v>
      </c>
      <c r="D327" s="17" t="s">
        <v>429</v>
      </c>
      <c r="E327" s="18">
        <v>14000.0</v>
      </c>
    </row>
    <row r="328" ht="12.75" customHeight="1">
      <c r="A328" s="9" t="s">
        <v>1080</v>
      </c>
      <c r="B328" s="9" t="s">
        <v>722</v>
      </c>
      <c r="C328" s="9" t="s">
        <v>1081</v>
      </c>
      <c r="D328" s="9" t="s">
        <v>431</v>
      </c>
      <c r="E328" s="10">
        <v>5000.0</v>
      </c>
    </row>
    <row r="329" ht="12.75" customHeight="1">
      <c r="A329" s="9" t="s">
        <v>1082</v>
      </c>
      <c r="B329" s="9" t="s">
        <v>397</v>
      </c>
      <c r="C329" s="9" t="s">
        <v>1083</v>
      </c>
      <c r="D329" s="9" t="s">
        <v>429</v>
      </c>
      <c r="E329" s="10">
        <v>14000.0</v>
      </c>
    </row>
    <row r="330" ht="12.75" customHeight="1">
      <c r="A330" s="17" t="s">
        <v>1084</v>
      </c>
      <c r="B330" s="17" t="s">
        <v>1085</v>
      </c>
      <c r="C330" s="17" t="s">
        <v>1086</v>
      </c>
      <c r="D330" s="17" t="s">
        <v>431</v>
      </c>
      <c r="E330" s="18">
        <v>20000.0</v>
      </c>
    </row>
    <row r="331" ht="12.75" customHeight="1">
      <c r="A331" s="9" t="s">
        <v>1087</v>
      </c>
      <c r="B331" s="9" t="s">
        <v>578</v>
      </c>
      <c r="C331" s="9" t="s">
        <v>1088</v>
      </c>
      <c r="D331" s="9" t="s">
        <v>431</v>
      </c>
      <c r="E331" s="10">
        <v>5000.0</v>
      </c>
    </row>
    <row r="332" ht="12.75" customHeight="1">
      <c r="A332" s="17" t="s">
        <v>1089</v>
      </c>
      <c r="B332" s="17" t="s">
        <v>397</v>
      </c>
      <c r="C332" s="17" t="s">
        <v>1090</v>
      </c>
      <c r="D332" s="17" t="s">
        <v>429</v>
      </c>
      <c r="E332" s="18">
        <v>6000.0</v>
      </c>
    </row>
    <row r="333" ht="12.75" customHeight="1">
      <c r="A333" s="9" t="s">
        <v>1091</v>
      </c>
      <c r="B333" s="9" t="s">
        <v>1092</v>
      </c>
      <c r="C333" s="9" t="s">
        <v>1093</v>
      </c>
      <c r="D333" s="9" t="s">
        <v>429</v>
      </c>
      <c r="E333" s="10">
        <v>80000.0</v>
      </c>
    </row>
    <row r="334" ht="12.75" customHeight="1">
      <c r="A334" s="17" t="s">
        <v>1094</v>
      </c>
      <c r="B334" s="17" t="s">
        <v>1095</v>
      </c>
      <c r="C334" s="17" t="s">
        <v>1096</v>
      </c>
      <c r="D334" s="17" t="s">
        <v>431</v>
      </c>
      <c r="E334" s="18">
        <v>5000.0</v>
      </c>
    </row>
    <row r="335" ht="12.75" customHeight="1">
      <c r="A335" s="9" t="s">
        <v>1097</v>
      </c>
      <c r="B335" s="9" t="s">
        <v>397</v>
      </c>
      <c r="C335" s="9" t="s">
        <v>1098</v>
      </c>
      <c r="D335" s="9" t="s">
        <v>429</v>
      </c>
      <c r="E335" s="10">
        <v>2000.0</v>
      </c>
    </row>
    <row r="336" ht="12.75" customHeight="1">
      <c r="A336" s="9" t="s">
        <v>1099</v>
      </c>
      <c r="B336" s="9" t="s">
        <v>1095</v>
      </c>
      <c r="C336" s="9" t="s">
        <v>1100</v>
      </c>
      <c r="D336" s="9" t="s">
        <v>431</v>
      </c>
      <c r="E336" s="10">
        <v>5000.0</v>
      </c>
    </row>
    <row r="337" ht="12.75" customHeight="1">
      <c r="A337" s="17" t="s">
        <v>1101</v>
      </c>
      <c r="B337" s="17" t="s">
        <v>397</v>
      </c>
      <c r="C337" s="17" t="s">
        <v>1102</v>
      </c>
      <c r="D337" s="17" t="s">
        <v>429</v>
      </c>
      <c r="E337" s="18">
        <v>1000.0</v>
      </c>
    </row>
    <row r="338" ht="12.75" customHeight="1">
      <c r="A338" s="17" t="s">
        <v>1103</v>
      </c>
      <c r="B338" s="17" t="s">
        <v>725</v>
      </c>
      <c r="C338" s="17" t="s">
        <v>1104</v>
      </c>
      <c r="D338" s="17" t="s">
        <v>431</v>
      </c>
      <c r="E338" s="18">
        <v>5000.0</v>
      </c>
    </row>
    <row r="339" ht="12.75" customHeight="1">
      <c r="A339" s="9" t="s">
        <v>1105</v>
      </c>
      <c r="B339" s="9" t="s">
        <v>397</v>
      </c>
      <c r="C339" s="9" t="s">
        <v>1106</v>
      </c>
      <c r="D339" s="9" t="s">
        <v>429</v>
      </c>
      <c r="E339" s="10">
        <v>14000.0</v>
      </c>
    </row>
    <row r="340" ht="12.75" customHeight="1">
      <c r="A340" s="9" t="s">
        <v>1107</v>
      </c>
      <c r="B340" s="9" t="s">
        <v>1108</v>
      </c>
      <c r="C340" s="9" t="s">
        <v>1109</v>
      </c>
      <c r="D340" s="9" t="s">
        <v>431</v>
      </c>
      <c r="E340" s="10">
        <v>5000.0</v>
      </c>
    </row>
    <row r="341" ht="12.75" customHeight="1">
      <c r="A341" s="17" t="s">
        <v>1110</v>
      </c>
      <c r="B341" s="17" t="s">
        <v>1111</v>
      </c>
      <c r="C341" s="17" t="s">
        <v>1112</v>
      </c>
      <c r="D341" s="17" t="s">
        <v>429</v>
      </c>
      <c r="E341" s="18">
        <v>16000.0</v>
      </c>
    </row>
    <row r="342" ht="12.75" customHeight="1">
      <c r="A342" s="17" t="s">
        <v>1113</v>
      </c>
      <c r="B342" s="17" t="s">
        <v>1114</v>
      </c>
      <c r="C342" s="17" t="s">
        <v>1115</v>
      </c>
      <c r="D342" s="17" t="s">
        <v>431</v>
      </c>
      <c r="E342" s="18">
        <v>5000.0</v>
      </c>
    </row>
    <row r="343" ht="12.75" customHeight="1">
      <c r="A343" s="9" t="s">
        <v>1116</v>
      </c>
      <c r="B343" s="9" t="s">
        <v>1117</v>
      </c>
      <c r="C343" s="9" t="s">
        <v>1118</v>
      </c>
      <c r="D343" s="9" t="s">
        <v>431</v>
      </c>
      <c r="E343" s="10">
        <v>10000.0</v>
      </c>
    </row>
    <row r="344" ht="12.75" customHeight="1">
      <c r="A344" s="17" t="s">
        <v>1119</v>
      </c>
      <c r="B344" s="17" t="s">
        <v>825</v>
      </c>
      <c r="C344" s="17" t="s">
        <v>1120</v>
      </c>
      <c r="D344" s="17" t="s">
        <v>431</v>
      </c>
      <c r="E344" s="18">
        <v>10000.0</v>
      </c>
    </row>
    <row r="345" ht="12.75" customHeight="1">
      <c r="A345" s="9" t="s">
        <v>1121</v>
      </c>
      <c r="B345" s="9" t="s">
        <v>36</v>
      </c>
      <c r="C345" s="9" t="s">
        <v>1118</v>
      </c>
      <c r="D345" s="9" t="s">
        <v>429</v>
      </c>
      <c r="E345" s="10">
        <v>10752.0</v>
      </c>
    </row>
    <row r="346" ht="12.75" customHeight="1">
      <c r="A346" s="17" t="s">
        <v>1122</v>
      </c>
      <c r="B346" s="17" t="s">
        <v>36</v>
      </c>
      <c r="C346" s="17" t="s">
        <v>1123</v>
      </c>
      <c r="D346" s="17" t="s">
        <v>429</v>
      </c>
      <c r="E346" s="18">
        <v>10752.0</v>
      </c>
    </row>
    <row r="347" ht="12.75" customHeight="1">
      <c r="A347" s="9" t="s">
        <v>1124</v>
      </c>
      <c r="B347" s="9" t="s">
        <v>1125</v>
      </c>
      <c r="C347" s="9" t="s">
        <v>1126</v>
      </c>
      <c r="D347" s="9" t="s">
        <v>431</v>
      </c>
      <c r="E347" s="10">
        <v>5000.0</v>
      </c>
    </row>
    <row r="348" ht="12.75" customHeight="1">
      <c r="A348" s="17" t="s">
        <v>1127</v>
      </c>
      <c r="B348" s="17" t="s">
        <v>663</v>
      </c>
      <c r="C348" s="17" t="s">
        <v>1128</v>
      </c>
      <c r="D348" s="17" t="s">
        <v>429</v>
      </c>
      <c r="E348" s="18">
        <v>29600.0</v>
      </c>
    </row>
    <row r="349" ht="12.75" customHeight="1">
      <c r="A349" s="17" t="s">
        <v>1129</v>
      </c>
      <c r="B349" s="17" t="s">
        <v>1130</v>
      </c>
      <c r="C349" s="17" t="s">
        <v>1131</v>
      </c>
      <c r="D349" s="17" t="s">
        <v>431</v>
      </c>
      <c r="E349" s="18">
        <v>5000.0</v>
      </c>
    </row>
    <row r="350" ht="12.75" customHeight="1">
      <c r="A350" s="9" t="s">
        <v>1132</v>
      </c>
      <c r="B350" s="9" t="s">
        <v>663</v>
      </c>
      <c r="C350" s="9" t="s">
        <v>1133</v>
      </c>
      <c r="D350" s="9" t="s">
        <v>429</v>
      </c>
      <c r="E350" s="10">
        <v>25384.0</v>
      </c>
    </row>
    <row r="351" ht="12.75" customHeight="1">
      <c r="A351" s="9" t="s">
        <v>1134</v>
      </c>
      <c r="B351" s="9" t="s">
        <v>1135</v>
      </c>
      <c r="C351" s="9" t="s">
        <v>1136</v>
      </c>
      <c r="D351" s="9" t="s">
        <v>431</v>
      </c>
      <c r="E351" s="10">
        <v>5000.0</v>
      </c>
    </row>
    <row r="352" ht="12.75" customHeight="1">
      <c r="A352" s="17" t="s">
        <v>1137</v>
      </c>
      <c r="B352" s="17" t="s">
        <v>663</v>
      </c>
      <c r="C352" s="17" t="s">
        <v>1138</v>
      </c>
      <c r="D352" s="17" t="s">
        <v>429</v>
      </c>
      <c r="E352" s="18">
        <v>31800.0</v>
      </c>
    </row>
    <row r="353" ht="12.75" customHeight="1">
      <c r="A353" s="17" t="s">
        <v>1139</v>
      </c>
      <c r="B353" s="17" t="s">
        <v>1140</v>
      </c>
      <c r="C353" s="17" t="s">
        <v>1141</v>
      </c>
      <c r="D353" s="17" t="s">
        <v>429</v>
      </c>
      <c r="E353" s="18">
        <v>5000.0</v>
      </c>
    </row>
    <row r="354" ht="12.75" customHeight="1">
      <c r="A354" s="9" t="s">
        <v>1139</v>
      </c>
      <c r="B354" s="9" t="s">
        <v>1142</v>
      </c>
      <c r="C354" s="9" t="s">
        <v>1143</v>
      </c>
      <c r="D354" s="9" t="s">
        <v>429</v>
      </c>
      <c r="E354" s="10">
        <v>3500.0</v>
      </c>
    </row>
    <row r="355" ht="12.75" customHeight="1">
      <c r="A355" s="17" t="s">
        <v>1139</v>
      </c>
      <c r="B355" s="17" t="s">
        <v>1142</v>
      </c>
      <c r="C355" s="17" t="s">
        <v>1144</v>
      </c>
      <c r="D355" s="17" t="s">
        <v>429</v>
      </c>
      <c r="E355" s="18">
        <v>3500.0</v>
      </c>
    </row>
    <row r="356" ht="12.75" customHeight="1">
      <c r="A356" s="17" t="s">
        <v>1139</v>
      </c>
      <c r="B356" s="17" t="s">
        <v>1145</v>
      </c>
      <c r="C356" s="17" t="s">
        <v>1146</v>
      </c>
      <c r="D356" s="17" t="s">
        <v>429</v>
      </c>
      <c r="E356" s="18">
        <v>2000.0</v>
      </c>
    </row>
    <row r="357" ht="12.75" customHeight="1">
      <c r="A357" s="9" t="s">
        <v>1139</v>
      </c>
      <c r="B357" s="9" t="s">
        <v>1145</v>
      </c>
      <c r="C357" s="9" t="s">
        <v>1147</v>
      </c>
      <c r="D357" s="9" t="s">
        <v>429</v>
      </c>
      <c r="E357" s="10">
        <v>2000.0</v>
      </c>
    </row>
    <row r="358" ht="12.75" customHeight="1">
      <c r="A358" s="17" t="s">
        <v>1139</v>
      </c>
      <c r="B358" s="17" t="s">
        <v>1145</v>
      </c>
      <c r="C358" s="17" t="s">
        <v>1148</v>
      </c>
      <c r="D358" s="17" t="s">
        <v>429</v>
      </c>
      <c r="E358" s="18">
        <v>2000.0</v>
      </c>
    </row>
    <row r="359" ht="12.75" customHeight="1">
      <c r="A359" s="17" t="s">
        <v>1149</v>
      </c>
      <c r="B359" s="17" t="s">
        <v>485</v>
      </c>
      <c r="C359" s="17" t="s">
        <v>1150</v>
      </c>
      <c r="D359" s="17" t="s">
        <v>431</v>
      </c>
      <c r="E359" s="18">
        <v>5000.0</v>
      </c>
    </row>
    <row r="360" ht="12.75" customHeight="1">
      <c r="A360" s="9" t="s">
        <v>1151</v>
      </c>
      <c r="B360" s="9" t="s">
        <v>485</v>
      </c>
      <c r="C360" s="9" t="s">
        <v>1152</v>
      </c>
      <c r="D360" s="9" t="s">
        <v>431</v>
      </c>
      <c r="E360" s="10">
        <v>5000.0</v>
      </c>
    </row>
    <row r="361" ht="12.75" customHeight="1">
      <c r="A361" s="17" t="s">
        <v>1153</v>
      </c>
      <c r="B361" s="17" t="s">
        <v>485</v>
      </c>
      <c r="C361" s="17" t="s">
        <v>1154</v>
      </c>
      <c r="D361" s="17" t="s">
        <v>431</v>
      </c>
      <c r="E361" s="18">
        <v>5000.0</v>
      </c>
    </row>
    <row r="362" ht="12.75" customHeight="1">
      <c r="A362" s="9" t="s">
        <v>1155</v>
      </c>
      <c r="B362" s="9" t="s">
        <v>36</v>
      </c>
      <c r="C362" s="9" t="s">
        <v>1156</v>
      </c>
      <c r="D362" s="9" t="s">
        <v>429</v>
      </c>
      <c r="E362" s="10">
        <v>10400.0</v>
      </c>
    </row>
    <row r="363" ht="12.75" customHeight="1">
      <c r="A363" s="9" t="s">
        <v>1157</v>
      </c>
      <c r="B363" s="9" t="s">
        <v>1158</v>
      </c>
      <c r="C363" s="9" t="s">
        <v>1159</v>
      </c>
      <c r="D363" s="9" t="s">
        <v>431</v>
      </c>
      <c r="E363" s="10">
        <v>10000.0</v>
      </c>
    </row>
    <row r="364" ht="12.75" customHeight="1">
      <c r="A364" s="17" t="s">
        <v>1160</v>
      </c>
      <c r="B364" s="17" t="s">
        <v>1161</v>
      </c>
      <c r="C364" s="17" t="s">
        <v>1162</v>
      </c>
      <c r="D364" s="17" t="s">
        <v>431</v>
      </c>
      <c r="E364" s="18">
        <v>5000.0</v>
      </c>
    </row>
    <row r="365" ht="12.75" customHeight="1">
      <c r="A365" s="9" t="s">
        <v>1163</v>
      </c>
      <c r="B365" s="9" t="s">
        <v>1164</v>
      </c>
      <c r="C365" s="9" t="s">
        <v>1165</v>
      </c>
      <c r="D365" s="9" t="s">
        <v>429</v>
      </c>
      <c r="E365" s="10">
        <v>62000.0</v>
      </c>
    </row>
    <row r="366" ht="12.75" customHeight="1">
      <c r="A366" s="9" t="s">
        <v>1166</v>
      </c>
      <c r="B366" s="9" t="s">
        <v>1167</v>
      </c>
      <c r="C366" s="9" t="s">
        <v>1168</v>
      </c>
      <c r="D366" s="9" t="s">
        <v>431</v>
      </c>
      <c r="E366" s="10">
        <v>5000.0</v>
      </c>
    </row>
    <row r="367" ht="12.75" customHeight="1">
      <c r="A367" s="17" t="s">
        <v>1169</v>
      </c>
      <c r="B367" s="17" t="s">
        <v>1170</v>
      </c>
      <c r="C367" s="17" t="s">
        <v>1171</v>
      </c>
      <c r="D367" s="17" t="s">
        <v>431</v>
      </c>
      <c r="E367" s="18">
        <v>5000.0</v>
      </c>
    </row>
    <row r="368" ht="12.75" customHeight="1">
      <c r="A368" s="17" t="s">
        <v>1172</v>
      </c>
      <c r="B368" s="17" t="s">
        <v>863</v>
      </c>
      <c r="C368" s="17" t="s">
        <v>1173</v>
      </c>
      <c r="D368" s="17" t="s">
        <v>429</v>
      </c>
      <c r="E368" s="18">
        <v>12800.0</v>
      </c>
    </row>
    <row r="369" ht="12.75" customHeight="1">
      <c r="A369" s="9" t="s">
        <v>1174</v>
      </c>
      <c r="B369" s="9" t="s">
        <v>608</v>
      </c>
      <c r="C369" s="9" t="s">
        <v>1175</v>
      </c>
      <c r="D369" s="9" t="s">
        <v>431</v>
      </c>
      <c r="E369" s="10">
        <v>5000.0</v>
      </c>
    </row>
    <row r="370" ht="12.75" customHeight="1">
      <c r="A370" s="9" t="s">
        <v>1176</v>
      </c>
      <c r="B370" s="9" t="s">
        <v>293</v>
      </c>
      <c r="C370" s="9" t="s">
        <v>1177</v>
      </c>
      <c r="D370" s="9" t="s">
        <v>429</v>
      </c>
      <c r="E370" s="10">
        <v>64000.0</v>
      </c>
    </row>
    <row r="371" ht="12.75" customHeight="1">
      <c r="A371" s="17" t="s">
        <v>1178</v>
      </c>
      <c r="B371" s="17" t="s">
        <v>1179</v>
      </c>
      <c r="C371" s="17" t="s">
        <v>1180</v>
      </c>
      <c r="D371" s="17" t="s">
        <v>431</v>
      </c>
      <c r="E371" s="18">
        <v>10000.0</v>
      </c>
    </row>
    <row r="372" ht="12.75" customHeight="1">
      <c r="A372" s="9" t="s">
        <v>1181</v>
      </c>
      <c r="B372" s="9" t="s">
        <v>873</v>
      </c>
      <c r="C372" s="9" t="s">
        <v>1182</v>
      </c>
      <c r="D372" s="9" t="s">
        <v>429</v>
      </c>
      <c r="E372" s="10">
        <v>24000.0</v>
      </c>
    </row>
    <row r="373" ht="12.75" customHeight="1">
      <c r="A373" s="17" t="s">
        <v>1183</v>
      </c>
      <c r="B373" s="17" t="s">
        <v>1184</v>
      </c>
      <c r="C373" s="17" t="s">
        <v>1185</v>
      </c>
      <c r="D373" s="17" t="s">
        <v>428</v>
      </c>
      <c r="E373" s="18">
        <v>210000.0</v>
      </c>
    </row>
    <row r="374" ht="12.75" customHeight="1">
      <c r="A374" s="9" t="s">
        <v>1186</v>
      </c>
      <c r="B374" s="9" t="s">
        <v>88</v>
      </c>
      <c r="C374" s="9" t="s">
        <v>1187</v>
      </c>
      <c r="D374" s="9" t="s">
        <v>428</v>
      </c>
      <c r="E374" s="10">
        <v>378000.0</v>
      </c>
    </row>
    <row r="375" ht="12.75" customHeight="1">
      <c r="A375" s="17" t="s">
        <v>1188</v>
      </c>
      <c r="B375" s="17" t="s">
        <v>88</v>
      </c>
      <c r="C375" s="17" t="s">
        <v>1189</v>
      </c>
      <c r="D375" s="17" t="s">
        <v>428</v>
      </c>
      <c r="E375" s="18">
        <v>210000.0</v>
      </c>
    </row>
    <row r="376" ht="12.75" customHeight="1">
      <c r="A376" s="9" t="s">
        <v>1190</v>
      </c>
      <c r="B376" s="9" t="s">
        <v>1191</v>
      </c>
      <c r="C376" s="9" t="s">
        <v>1192</v>
      </c>
      <c r="D376" s="9" t="s">
        <v>428</v>
      </c>
      <c r="E376" s="10">
        <v>406000.0</v>
      </c>
    </row>
    <row r="377" ht="12.75" customHeight="1">
      <c r="A377" s="9" t="s">
        <v>1193</v>
      </c>
      <c r="B377" s="9" t="s">
        <v>1194</v>
      </c>
      <c r="C377" s="9" t="s">
        <v>1195</v>
      </c>
      <c r="D377" s="9" t="s">
        <v>428</v>
      </c>
      <c r="E377" s="10">
        <v>238000.0</v>
      </c>
    </row>
    <row r="378" ht="12.75" customHeight="1">
      <c r="A378" s="9" t="s">
        <v>1196</v>
      </c>
      <c r="B378" s="9" t="s">
        <v>512</v>
      </c>
      <c r="C378" s="9" t="s">
        <v>1197</v>
      </c>
      <c r="D378" s="9" t="s">
        <v>431</v>
      </c>
      <c r="E378" s="10">
        <v>10000.0</v>
      </c>
    </row>
    <row r="379" ht="12.75" customHeight="1">
      <c r="A379" s="9" t="s">
        <v>1198</v>
      </c>
      <c r="B379" s="9" t="s">
        <v>787</v>
      </c>
      <c r="C379" s="9" t="s">
        <v>1199</v>
      </c>
      <c r="D379" s="9" t="s">
        <v>429</v>
      </c>
      <c r="E379" s="10">
        <v>37848.0</v>
      </c>
    </row>
    <row r="380" ht="12.75" customHeight="1">
      <c r="A380" s="17" t="s">
        <v>1200</v>
      </c>
      <c r="B380" s="17" t="s">
        <v>1201</v>
      </c>
      <c r="C380" s="17" t="s">
        <v>1202</v>
      </c>
      <c r="D380" s="17" t="s">
        <v>431</v>
      </c>
      <c r="E380" s="18">
        <v>5000.0</v>
      </c>
    </row>
    <row r="381" ht="12.75" customHeight="1">
      <c r="A381" s="9" t="s">
        <v>1203</v>
      </c>
      <c r="B381" s="9" t="s">
        <v>938</v>
      </c>
      <c r="C381" s="9" t="s">
        <v>1204</v>
      </c>
      <c r="D381" s="9" t="s">
        <v>427</v>
      </c>
      <c r="E381" s="10">
        <v>56000.0</v>
      </c>
    </row>
    <row r="382" ht="12.75" customHeight="1">
      <c r="A382" s="9" t="s">
        <v>1205</v>
      </c>
      <c r="B382" s="9" t="s">
        <v>1206</v>
      </c>
      <c r="C382" s="9" t="s">
        <v>1207</v>
      </c>
      <c r="D382" s="9" t="s">
        <v>431</v>
      </c>
      <c r="E382" s="10">
        <v>15000.0</v>
      </c>
    </row>
    <row r="383" ht="12.75" customHeight="1">
      <c r="A383" s="17" t="s">
        <v>1208</v>
      </c>
      <c r="B383" s="17" t="s">
        <v>1209</v>
      </c>
      <c r="C383" s="17" t="s">
        <v>1210</v>
      </c>
      <c r="D383" s="17" t="s">
        <v>431</v>
      </c>
      <c r="E383" s="18">
        <v>10000.0</v>
      </c>
    </row>
    <row r="384" ht="12.75" customHeight="1">
      <c r="A384" s="9" t="s">
        <v>1211</v>
      </c>
      <c r="B384" s="9" t="s">
        <v>863</v>
      </c>
      <c r="C384" s="9" t="s">
        <v>1212</v>
      </c>
      <c r="D384" s="9" t="s">
        <v>429</v>
      </c>
      <c r="E384" s="10">
        <v>12800.0</v>
      </c>
    </row>
    <row r="385" ht="12.75" customHeight="1">
      <c r="A385" s="17" t="s">
        <v>1213</v>
      </c>
      <c r="B385" s="17" t="s">
        <v>1214</v>
      </c>
      <c r="C385" s="17" t="s">
        <v>1215</v>
      </c>
      <c r="D385" s="17" t="s">
        <v>429</v>
      </c>
      <c r="E385" s="18">
        <v>70988.0</v>
      </c>
    </row>
    <row r="386" ht="12.75" customHeight="1">
      <c r="A386" s="9" t="s">
        <v>1216</v>
      </c>
      <c r="B386" s="9" t="s">
        <v>893</v>
      </c>
      <c r="C386" s="9" t="s">
        <v>1217</v>
      </c>
      <c r="D386" s="9" t="s">
        <v>431</v>
      </c>
      <c r="E386" s="10">
        <v>5000.0</v>
      </c>
    </row>
    <row r="387" ht="12.75" customHeight="1">
      <c r="A387" s="17" t="s">
        <v>1218</v>
      </c>
      <c r="B387" s="17" t="s">
        <v>1219</v>
      </c>
      <c r="C387" s="17" t="s">
        <v>1220</v>
      </c>
      <c r="D387" s="17" t="s">
        <v>431</v>
      </c>
      <c r="E387" s="18">
        <v>5000.0</v>
      </c>
    </row>
    <row r="388" ht="12.75" customHeight="1">
      <c r="A388" s="17" t="s">
        <v>1221</v>
      </c>
      <c r="B388" s="17" t="s">
        <v>863</v>
      </c>
      <c r="C388" s="17" t="s">
        <v>1222</v>
      </c>
      <c r="D388" s="17" t="s">
        <v>429</v>
      </c>
      <c r="E388" s="18">
        <v>12800.0</v>
      </c>
    </row>
    <row r="389" ht="12.75" customHeight="1">
      <c r="A389" s="9" t="s">
        <v>1223</v>
      </c>
      <c r="B389" s="9" t="s">
        <v>88</v>
      </c>
      <c r="C389" s="9" t="s">
        <v>1224</v>
      </c>
      <c r="D389" s="9" t="s">
        <v>428</v>
      </c>
      <c r="E389" s="10">
        <v>266000.0</v>
      </c>
    </row>
    <row r="390" ht="12.75" customHeight="1">
      <c r="A390" s="9" t="s">
        <v>1225</v>
      </c>
      <c r="B390" s="9" t="s">
        <v>843</v>
      </c>
      <c r="C390" s="9" t="s">
        <v>1226</v>
      </c>
      <c r="D390" s="9" t="s">
        <v>431</v>
      </c>
      <c r="E390" s="10">
        <v>5000.0</v>
      </c>
    </row>
    <row r="391" ht="12.75" customHeight="1">
      <c r="A391" s="17" t="s">
        <v>1227</v>
      </c>
      <c r="B391" s="17" t="s">
        <v>293</v>
      </c>
      <c r="C391" s="17" t="s">
        <v>1228</v>
      </c>
      <c r="D391" s="17" t="s">
        <v>429</v>
      </c>
      <c r="E391" s="18">
        <v>12800.0</v>
      </c>
    </row>
    <row r="392" ht="12.75" customHeight="1">
      <c r="A392" s="17" t="s">
        <v>1229</v>
      </c>
      <c r="B392" s="17" t="s">
        <v>480</v>
      </c>
      <c r="C392" s="17" t="s">
        <v>1230</v>
      </c>
      <c r="D392" s="17" t="s">
        <v>429</v>
      </c>
      <c r="E392" s="18">
        <v>3200.0</v>
      </c>
    </row>
    <row r="393" ht="12.75" customHeight="1">
      <c r="A393" s="9" t="s">
        <v>1231</v>
      </c>
      <c r="B393" s="9" t="s">
        <v>480</v>
      </c>
      <c r="C393" s="9" t="s">
        <v>1232</v>
      </c>
      <c r="D393" s="9" t="s">
        <v>429</v>
      </c>
      <c r="E393" s="10">
        <v>6000.0</v>
      </c>
    </row>
    <row r="394" ht="12.75" customHeight="1">
      <c r="A394" s="17" t="s">
        <v>1233</v>
      </c>
      <c r="B394" s="17" t="s">
        <v>1234</v>
      </c>
      <c r="C394" s="17" t="s">
        <v>1235</v>
      </c>
      <c r="D394" s="17" t="s">
        <v>431</v>
      </c>
      <c r="E394" s="18">
        <v>5000.0</v>
      </c>
    </row>
    <row r="395" ht="12.75" customHeight="1">
      <c r="A395" s="17" t="s">
        <v>1236</v>
      </c>
      <c r="B395" s="17" t="s">
        <v>480</v>
      </c>
      <c r="C395" s="17" t="s">
        <v>1237</v>
      </c>
      <c r="D395" s="17" t="s">
        <v>429</v>
      </c>
      <c r="E395" s="18">
        <v>4000.0</v>
      </c>
    </row>
    <row r="396" ht="12.75" customHeight="1">
      <c r="A396" s="9" t="s">
        <v>1238</v>
      </c>
      <c r="B396" s="9" t="s">
        <v>1239</v>
      </c>
      <c r="C396" s="9" t="s">
        <v>1240</v>
      </c>
      <c r="D396" s="9" t="s">
        <v>431</v>
      </c>
      <c r="E396" s="10">
        <v>5000.0</v>
      </c>
    </row>
    <row r="397" ht="12.75" customHeight="1">
      <c r="A397" s="17" t="s">
        <v>1241</v>
      </c>
      <c r="B397" s="17" t="s">
        <v>1242</v>
      </c>
      <c r="C397" s="17" t="s">
        <v>1243</v>
      </c>
      <c r="D397" s="17" t="s">
        <v>429</v>
      </c>
      <c r="E397" s="18">
        <v>35000.0</v>
      </c>
    </row>
    <row r="398" ht="12.75" customHeight="1">
      <c r="A398" s="17" t="s">
        <v>1244</v>
      </c>
      <c r="B398" s="17" t="s">
        <v>1245</v>
      </c>
      <c r="C398" s="17" t="s">
        <v>1246</v>
      </c>
      <c r="D398" s="17" t="s">
        <v>431</v>
      </c>
      <c r="E398" s="18">
        <v>15000.0</v>
      </c>
    </row>
    <row r="399" ht="12.75" customHeight="1">
      <c r="A399" s="9" t="s">
        <v>1247</v>
      </c>
      <c r="B399" s="9" t="s">
        <v>1248</v>
      </c>
      <c r="C399" s="9" t="s">
        <v>1249</v>
      </c>
      <c r="D399" s="9" t="s">
        <v>431</v>
      </c>
      <c r="E399" s="10">
        <v>5000.0</v>
      </c>
    </row>
    <row r="400" ht="12.75" customHeight="1">
      <c r="A400" s="9" t="s">
        <v>1250</v>
      </c>
      <c r="B400" s="9" t="s">
        <v>1251</v>
      </c>
      <c r="C400" s="9" t="s">
        <v>1251</v>
      </c>
      <c r="D400" s="9" t="s">
        <v>429</v>
      </c>
      <c r="E400" s="10">
        <v>54140.0</v>
      </c>
    </row>
    <row r="401" ht="12.75" customHeight="1">
      <c r="A401" s="17" t="s">
        <v>1252</v>
      </c>
      <c r="B401" s="17" t="s">
        <v>1253</v>
      </c>
      <c r="C401" s="17" t="s">
        <v>1254</v>
      </c>
      <c r="D401" s="17" t="s">
        <v>429</v>
      </c>
      <c r="E401" s="18">
        <v>2540.0</v>
      </c>
    </row>
    <row r="402" ht="12.75" customHeight="1">
      <c r="A402" s="17" t="s">
        <v>1255</v>
      </c>
      <c r="B402" s="17" t="s">
        <v>1194</v>
      </c>
      <c r="C402" s="17" t="s">
        <v>1256</v>
      </c>
      <c r="D402" s="17" t="s">
        <v>428</v>
      </c>
      <c r="E402" s="18">
        <v>210000.0</v>
      </c>
    </row>
    <row r="403" ht="12.75" customHeight="1">
      <c r="A403" s="17" t="s">
        <v>1257</v>
      </c>
      <c r="B403" s="17" t="s">
        <v>1258</v>
      </c>
      <c r="C403" s="17" t="s">
        <v>1259</v>
      </c>
      <c r="D403" s="17" t="s">
        <v>431</v>
      </c>
      <c r="E403" s="18">
        <v>15000.0</v>
      </c>
    </row>
    <row r="404" ht="12.75" customHeight="1">
      <c r="A404" s="9" t="s">
        <v>1260</v>
      </c>
      <c r="B404" s="9" t="s">
        <v>199</v>
      </c>
      <c r="C404" s="9" t="s">
        <v>1261</v>
      </c>
      <c r="D404" s="9" t="s">
        <v>429</v>
      </c>
      <c r="E404" s="10">
        <v>12800.0</v>
      </c>
    </row>
    <row r="405" ht="12.75" customHeight="1">
      <c r="A405" s="9" t="s">
        <v>1262</v>
      </c>
      <c r="B405" s="9" t="s">
        <v>1263</v>
      </c>
      <c r="C405" s="9" t="s">
        <v>1264</v>
      </c>
      <c r="D405" s="9" t="s">
        <v>431</v>
      </c>
      <c r="E405" s="10">
        <v>5000.0</v>
      </c>
    </row>
    <row r="406" ht="12.75" customHeight="1">
      <c r="A406" s="17" t="s">
        <v>1265</v>
      </c>
      <c r="B406" s="17" t="s">
        <v>1266</v>
      </c>
      <c r="C406" s="17" t="s">
        <v>1267</v>
      </c>
      <c r="D406" s="17" t="s">
        <v>431</v>
      </c>
      <c r="E406" s="18">
        <v>15000.0</v>
      </c>
    </row>
    <row r="407" ht="12.75" customHeight="1">
      <c r="A407" s="9" t="s">
        <v>1268</v>
      </c>
      <c r="B407" s="9" t="s">
        <v>1269</v>
      </c>
      <c r="C407" s="9" t="s">
        <v>1270</v>
      </c>
      <c r="D407" s="9" t="s">
        <v>429</v>
      </c>
      <c r="E407" s="10">
        <v>29346.0</v>
      </c>
    </row>
    <row r="408" ht="12.75" customHeight="1">
      <c r="A408" s="9" t="s">
        <v>1271</v>
      </c>
      <c r="B408" s="9" t="s">
        <v>1272</v>
      </c>
      <c r="C408" s="9" t="s">
        <v>1273</v>
      </c>
      <c r="D408" s="9" t="s">
        <v>430</v>
      </c>
      <c r="E408" s="10">
        <v>120000.0</v>
      </c>
    </row>
    <row r="409" ht="12.75" customHeight="1">
      <c r="A409" s="17" t="s">
        <v>1274</v>
      </c>
      <c r="B409" s="17" t="s">
        <v>1275</v>
      </c>
      <c r="C409" s="17" t="s">
        <v>1276</v>
      </c>
      <c r="D409" s="17" t="s">
        <v>430</v>
      </c>
      <c r="E409" s="18">
        <v>119998.0</v>
      </c>
    </row>
    <row r="410" ht="12.75" customHeight="1">
      <c r="A410" s="9" t="s">
        <v>1277</v>
      </c>
      <c r="B410" s="9" t="s">
        <v>1278</v>
      </c>
      <c r="C410" s="9" t="s">
        <v>1279</v>
      </c>
      <c r="D410" s="9" t="s">
        <v>430</v>
      </c>
      <c r="E410" s="10">
        <v>100000.0</v>
      </c>
    </row>
    <row r="411" ht="12.75" customHeight="1">
      <c r="A411" s="9" t="s">
        <v>1280</v>
      </c>
      <c r="B411" s="9" t="s">
        <v>1281</v>
      </c>
      <c r="C411" s="9" t="s">
        <v>1282</v>
      </c>
      <c r="D411" s="9" t="s">
        <v>431</v>
      </c>
      <c r="E411" s="10">
        <v>10000.0</v>
      </c>
    </row>
    <row r="412" ht="12.75" customHeight="1">
      <c r="A412" s="17" t="s">
        <v>1283</v>
      </c>
      <c r="B412" s="17" t="s">
        <v>941</v>
      </c>
      <c r="C412" s="17" t="s">
        <v>1284</v>
      </c>
      <c r="D412" s="17" t="s">
        <v>427</v>
      </c>
      <c r="E412" s="18">
        <v>10000.0</v>
      </c>
    </row>
    <row r="413" ht="12.75" customHeight="1">
      <c r="A413" s="17" t="s">
        <v>1285</v>
      </c>
      <c r="B413" s="17" t="s">
        <v>1286</v>
      </c>
      <c r="C413" s="17" t="s">
        <v>1287</v>
      </c>
      <c r="D413" s="17" t="s">
        <v>431</v>
      </c>
      <c r="E413" s="18">
        <v>5000.0</v>
      </c>
    </row>
    <row r="414" ht="12.75" customHeight="1">
      <c r="A414" s="9" t="s">
        <v>1288</v>
      </c>
      <c r="B414" s="9" t="s">
        <v>541</v>
      </c>
      <c r="C414" s="9" t="s">
        <v>1289</v>
      </c>
      <c r="D414" s="9" t="s">
        <v>429</v>
      </c>
      <c r="E414" s="10">
        <v>29000.0</v>
      </c>
    </row>
    <row r="415" ht="12.75" customHeight="1">
      <c r="A415" s="9" t="s">
        <v>1290</v>
      </c>
      <c r="B415" s="9" t="s">
        <v>1291</v>
      </c>
      <c r="C415" s="9" t="s">
        <v>1292</v>
      </c>
      <c r="D415" s="9" t="s">
        <v>431</v>
      </c>
      <c r="E415" s="10">
        <v>5000.0</v>
      </c>
    </row>
    <row r="416" ht="12.75" customHeight="1">
      <c r="A416" s="9" t="s">
        <v>1293</v>
      </c>
      <c r="B416" s="9" t="s">
        <v>293</v>
      </c>
      <c r="C416" s="9" t="s">
        <v>1294</v>
      </c>
      <c r="D416" s="9" t="s">
        <v>429</v>
      </c>
      <c r="E416" s="10">
        <v>12800.0</v>
      </c>
    </row>
    <row r="417" ht="12.75" customHeight="1">
      <c r="A417" s="17" t="s">
        <v>1295</v>
      </c>
      <c r="B417" s="17" t="s">
        <v>1296</v>
      </c>
      <c r="C417" s="17" t="s">
        <v>1297</v>
      </c>
      <c r="D417" s="17" t="s">
        <v>431</v>
      </c>
      <c r="E417" s="18">
        <v>5000.0</v>
      </c>
    </row>
    <row r="418" ht="12.75" customHeight="1">
      <c r="A418" s="17" t="s">
        <v>1298</v>
      </c>
      <c r="B418" s="17" t="s">
        <v>1299</v>
      </c>
      <c r="C418" s="17" t="s">
        <v>1300</v>
      </c>
      <c r="D418" s="17" t="s">
        <v>429</v>
      </c>
      <c r="E418" s="18">
        <v>14520.0</v>
      </c>
    </row>
    <row r="419" ht="12.75" customHeight="1">
      <c r="D419" s="13"/>
      <c r="E419" s="8">
        <f>SUM(E1:E418)</f>
        <v>10939204</v>
      </c>
    </row>
    <row r="420" ht="12.75" customHeight="1">
      <c r="D420" s="13"/>
      <c r="E420" s="8"/>
    </row>
    <row r="421" ht="12.75" customHeight="1">
      <c r="D421" s="13"/>
      <c r="E421" s="8"/>
    </row>
    <row r="422" ht="12.75" customHeight="1">
      <c r="D422" s="13"/>
      <c r="E422" s="8"/>
    </row>
    <row r="423" ht="12.75" customHeight="1">
      <c r="D423" s="13"/>
      <c r="E423" s="8"/>
    </row>
    <row r="424" ht="12.75" customHeight="1">
      <c r="D424" s="13"/>
      <c r="E424" s="8"/>
    </row>
    <row r="425" ht="12.75" customHeight="1">
      <c r="D425" s="13"/>
      <c r="E425" s="8"/>
    </row>
    <row r="426" ht="12.75" customHeight="1">
      <c r="D426" s="13"/>
      <c r="E426" s="8"/>
    </row>
    <row r="427" ht="12.75" customHeight="1">
      <c r="D427" s="13"/>
      <c r="E427" s="8"/>
    </row>
    <row r="428" ht="12.75" customHeight="1">
      <c r="D428" s="13"/>
      <c r="E428" s="8"/>
    </row>
    <row r="429" ht="12.75" customHeight="1">
      <c r="D429" s="13"/>
      <c r="E429" s="8"/>
    </row>
    <row r="430" ht="12.75" customHeight="1">
      <c r="D430" s="13"/>
      <c r="E430" s="8"/>
    </row>
    <row r="431" ht="12.75" customHeight="1">
      <c r="D431" s="13"/>
      <c r="E431" s="8"/>
    </row>
    <row r="432" ht="12.75" customHeight="1">
      <c r="D432" s="13"/>
      <c r="E432" s="8"/>
    </row>
    <row r="433" ht="12.75" customHeight="1">
      <c r="D433" s="13"/>
      <c r="E433" s="8"/>
    </row>
    <row r="434" ht="12.75" customHeight="1">
      <c r="D434" s="13"/>
      <c r="E434" s="8"/>
    </row>
    <row r="435" ht="12.75" customHeight="1">
      <c r="D435" s="13"/>
      <c r="E435" s="8"/>
    </row>
    <row r="436" ht="12.75" customHeight="1">
      <c r="D436" s="13"/>
      <c r="E436" s="8"/>
    </row>
    <row r="437" ht="12.75" customHeight="1">
      <c r="D437" s="13"/>
      <c r="E437" s="8"/>
    </row>
    <row r="438" ht="12.75" customHeight="1">
      <c r="D438" s="13"/>
      <c r="E438" s="8"/>
    </row>
    <row r="439" ht="12.75" customHeight="1">
      <c r="D439" s="13"/>
      <c r="E439" s="8"/>
    </row>
    <row r="440" ht="12.75" customHeight="1">
      <c r="D440" s="13"/>
      <c r="E440" s="8"/>
    </row>
    <row r="441" ht="12.75" customHeight="1">
      <c r="D441" s="13"/>
      <c r="E441" s="8"/>
    </row>
    <row r="442" ht="12.75" customHeight="1">
      <c r="D442" s="13"/>
      <c r="E442" s="8"/>
    </row>
    <row r="443" ht="12.75" customHeight="1">
      <c r="D443" s="13"/>
      <c r="E443" s="8"/>
    </row>
    <row r="444" ht="12.75" customHeight="1">
      <c r="D444" s="13"/>
      <c r="E444" s="8"/>
    </row>
    <row r="445" ht="12.75" customHeight="1">
      <c r="D445" s="13"/>
      <c r="E445" s="8"/>
    </row>
    <row r="446" ht="12.75" customHeight="1">
      <c r="D446" s="13"/>
      <c r="E446" s="8"/>
    </row>
    <row r="447" ht="12.75" customHeight="1">
      <c r="D447" s="13"/>
      <c r="E447" s="8"/>
    </row>
    <row r="448" ht="12.75" customHeight="1">
      <c r="D448" s="13"/>
      <c r="E448" s="8"/>
    </row>
    <row r="449" ht="12.75" customHeight="1">
      <c r="D449" s="13"/>
      <c r="E449" s="8"/>
    </row>
    <row r="450" ht="12.75" customHeight="1">
      <c r="D450" s="13"/>
      <c r="E450" s="8"/>
    </row>
    <row r="451" ht="12.75" customHeight="1">
      <c r="D451" s="13"/>
      <c r="E451" s="8"/>
    </row>
    <row r="452" ht="12.75" customHeight="1">
      <c r="D452" s="13"/>
      <c r="E452" s="8"/>
    </row>
    <row r="453" ht="12.75" customHeight="1">
      <c r="D453" s="13"/>
      <c r="E453" s="8"/>
    </row>
    <row r="454" ht="12.75" customHeight="1">
      <c r="D454" s="13"/>
      <c r="E454" s="8"/>
    </row>
    <row r="455" ht="12.75" customHeight="1">
      <c r="D455" s="13"/>
      <c r="E455" s="8"/>
    </row>
    <row r="456" ht="12.75" customHeight="1">
      <c r="D456" s="13"/>
      <c r="E456" s="8"/>
    </row>
    <row r="457" ht="12.75" customHeight="1">
      <c r="D457" s="13"/>
      <c r="E457" s="8"/>
    </row>
    <row r="458" ht="12.75" customHeight="1">
      <c r="D458" s="13"/>
      <c r="E458" s="8"/>
    </row>
    <row r="459" ht="12.75" customHeight="1">
      <c r="D459" s="13"/>
      <c r="E459" s="8"/>
    </row>
    <row r="460" ht="12.75" customHeight="1">
      <c r="D460" s="13"/>
      <c r="E460" s="8"/>
    </row>
    <row r="461" ht="12.75" customHeight="1">
      <c r="D461" s="13"/>
      <c r="E461" s="8"/>
    </row>
    <row r="462" ht="12.75" customHeight="1">
      <c r="D462" s="13"/>
      <c r="E462" s="8"/>
    </row>
    <row r="463" ht="12.75" customHeight="1">
      <c r="D463" s="13"/>
      <c r="E463" s="8"/>
    </row>
    <row r="464" ht="12.75" customHeight="1">
      <c r="D464" s="13"/>
      <c r="E464" s="8"/>
    </row>
    <row r="465" ht="12.75" customHeight="1">
      <c r="D465" s="13"/>
      <c r="E465" s="8"/>
    </row>
    <row r="466" ht="12.75" customHeight="1">
      <c r="D466" s="13"/>
      <c r="E466" s="8"/>
    </row>
    <row r="467" ht="12.75" customHeight="1">
      <c r="D467" s="13"/>
      <c r="E467" s="8"/>
    </row>
    <row r="468" ht="12.75" customHeight="1">
      <c r="D468" s="13"/>
      <c r="E468" s="8"/>
    </row>
    <row r="469" ht="12.75" customHeight="1">
      <c r="D469" s="13"/>
      <c r="E469" s="8"/>
    </row>
    <row r="470" ht="12.75" customHeight="1">
      <c r="D470" s="13"/>
      <c r="E470" s="8"/>
    </row>
    <row r="471" ht="12.75" customHeight="1">
      <c r="D471" s="13"/>
      <c r="E471" s="8"/>
    </row>
    <row r="472" ht="12.75" customHeight="1">
      <c r="D472" s="13"/>
      <c r="E472" s="8"/>
    </row>
    <row r="473" ht="12.75" customHeight="1">
      <c r="D473" s="13"/>
      <c r="E473" s="8"/>
    </row>
    <row r="474" ht="12.75" customHeight="1">
      <c r="D474" s="13"/>
      <c r="E474" s="8"/>
    </row>
    <row r="475" ht="12.75" customHeight="1">
      <c r="D475" s="13"/>
      <c r="E475" s="8"/>
    </row>
    <row r="476" ht="12.75" customHeight="1">
      <c r="D476" s="13"/>
      <c r="E476" s="8"/>
    </row>
    <row r="477" ht="12.75" customHeight="1">
      <c r="D477" s="13"/>
      <c r="E477" s="8"/>
    </row>
    <row r="478" ht="12.75" customHeight="1">
      <c r="D478" s="13"/>
      <c r="E478" s="8"/>
    </row>
    <row r="479" ht="12.75" customHeight="1">
      <c r="D479" s="13"/>
      <c r="E479" s="8"/>
    </row>
    <row r="480" ht="12.75" customHeight="1">
      <c r="D480" s="13"/>
      <c r="E480" s="8"/>
    </row>
    <row r="481" ht="12.75" customHeight="1">
      <c r="D481" s="13"/>
      <c r="E481" s="8"/>
    </row>
    <row r="482" ht="12.75" customHeight="1">
      <c r="D482" s="13"/>
      <c r="E482" s="8"/>
    </row>
    <row r="483" ht="12.75" customHeight="1">
      <c r="D483" s="13"/>
      <c r="E483" s="8"/>
    </row>
    <row r="484" ht="12.75" customHeight="1">
      <c r="D484" s="13"/>
      <c r="E484" s="8"/>
    </row>
    <row r="485" ht="12.75" customHeight="1">
      <c r="D485" s="13"/>
      <c r="E485" s="8"/>
    </row>
    <row r="486" ht="12.75" customHeight="1">
      <c r="D486" s="13"/>
      <c r="E486" s="8"/>
    </row>
    <row r="487" ht="12.75" customHeight="1">
      <c r="D487" s="13"/>
      <c r="E487" s="8"/>
    </row>
    <row r="488" ht="12.75" customHeight="1">
      <c r="D488" s="13"/>
      <c r="E488" s="8"/>
    </row>
    <row r="489" ht="12.75" customHeight="1">
      <c r="D489" s="13"/>
      <c r="E489" s="8"/>
    </row>
    <row r="490" ht="12.75" customHeight="1">
      <c r="D490" s="13"/>
      <c r="E490" s="8"/>
    </row>
    <row r="491" ht="12.75" customHeight="1">
      <c r="D491" s="13"/>
      <c r="E491" s="8"/>
    </row>
    <row r="492" ht="12.75" customHeight="1">
      <c r="D492" s="13"/>
      <c r="E492" s="8"/>
    </row>
    <row r="493" ht="12.75" customHeight="1">
      <c r="D493" s="13"/>
      <c r="E493" s="8"/>
    </row>
    <row r="494" ht="12.75" customHeight="1">
      <c r="D494" s="13"/>
      <c r="E494" s="8"/>
    </row>
    <row r="495" ht="12.75" customHeight="1">
      <c r="D495" s="13"/>
      <c r="E495" s="8"/>
    </row>
    <row r="496" ht="12.75" customHeight="1">
      <c r="D496" s="13"/>
      <c r="E496" s="8"/>
    </row>
    <row r="497" ht="12.75" customHeight="1">
      <c r="D497" s="13"/>
      <c r="E497" s="8"/>
    </row>
    <row r="498" ht="12.75" customHeight="1">
      <c r="D498" s="13"/>
      <c r="E498" s="8"/>
    </row>
    <row r="499" ht="12.75" customHeight="1">
      <c r="D499" s="13"/>
      <c r="E499" s="8"/>
    </row>
    <row r="500" ht="12.75" customHeight="1">
      <c r="D500" s="13"/>
      <c r="E500" s="8"/>
    </row>
    <row r="501" ht="12.75" customHeight="1">
      <c r="D501" s="13"/>
      <c r="E501" s="8"/>
    </row>
    <row r="502" ht="12.75" customHeight="1">
      <c r="D502" s="13"/>
      <c r="E502" s="8"/>
    </row>
    <row r="503" ht="12.75" customHeight="1">
      <c r="D503" s="13"/>
      <c r="E503" s="8"/>
    </row>
    <row r="504" ht="12.75" customHeight="1">
      <c r="D504" s="13"/>
      <c r="E504" s="8"/>
    </row>
    <row r="505" ht="12.75" customHeight="1">
      <c r="D505" s="13"/>
      <c r="E505" s="8"/>
    </row>
    <row r="506" ht="12.75" customHeight="1">
      <c r="D506" s="13"/>
      <c r="E506" s="8"/>
    </row>
    <row r="507" ht="12.75" customHeight="1">
      <c r="D507" s="13"/>
      <c r="E507" s="8"/>
    </row>
    <row r="508" ht="12.75" customHeight="1">
      <c r="D508" s="13"/>
      <c r="E508" s="8"/>
    </row>
    <row r="509" ht="12.75" customHeight="1">
      <c r="D509" s="13"/>
      <c r="E509" s="8"/>
    </row>
    <row r="510" ht="12.75" customHeight="1">
      <c r="D510" s="13"/>
      <c r="E510" s="8"/>
    </row>
    <row r="511" ht="12.75" customHeight="1">
      <c r="D511" s="13"/>
      <c r="E511" s="8"/>
    </row>
    <row r="512" ht="12.75" customHeight="1">
      <c r="D512" s="13"/>
      <c r="E512" s="8"/>
    </row>
    <row r="513" ht="12.75" customHeight="1">
      <c r="D513" s="13"/>
      <c r="E513" s="8"/>
    </row>
    <row r="514" ht="12.75" customHeight="1">
      <c r="D514" s="13"/>
      <c r="E514" s="8"/>
    </row>
    <row r="515" ht="12.75" customHeight="1">
      <c r="D515" s="13"/>
      <c r="E515" s="8"/>
    </row>
    <row r="516" ht="12.75" customHeight="1">
      <c r="D516" s="13"/>
      <c r="E516" s="8"/>
    </row>
    <row r="517" ht="12.75" customHeight="1">
      <c r="D517" s="13"/>
      <c r="E517" s="8"/>
    </row>
    <row r="518" ht="12.75" customHeight="1">
      <c r="D518" s="13"/>
      <c r="E518" s="8"/>
    </row>
    <row r="519" ht="12.75" customHeight="1">
      <c r="D519" s="13"/>
      <c r="E519" s="8"/>
    </row>
    <row r="520" ht="12.75" customHeight="1">
      <c r="D520" s="13"/>
      <c r="E520" s="8"/>
    </row>
    <row r="521" ht="12.75" customHeight="1">
      <c r="D521" s="13"/>
      <c r="E521" s="8"/>
    </row>
    <row r="522" ht="12.75" customHeight="1">
      <c r="D522" s="13"/>
      <c r="E522" s="8"/>
    </row>
    <row r="523" ht="12.75" customHeight="1">
      <c r="D523" s="13"/>
      <c r="E523" s="8"/>
    </row>
    <row r="524" ht="12.75" customHeight="1">
      <c r="D524" s="13"/>
      <c r="E524" s="8"/>
    </row>
    <row r="525" ht="12.75" customHeight="1">
      <c r="D525" s="13"/>
      <c r="E525" s="8"/>
    </row>
    <row r="526" ht="12.75" customHeight="1">
      <c r="D526" s="13"/>
      <c r="E526" s="8"/>
    </row>
    <row r="527" ht="12.75" customHeight="1">
      <c r="D527" s="13"/>
      <c r="E527" s="8"/>
    </row>
    <row r="528" ht="12.75" customHeight="1">
      <c r="D528" s="13"/>
      <c r="E528" s="8"/>
    </row>
    <row r="529" ht="12.75" customHeight="1">
      <c r="D529" s="13"/>
      <c r="E529" s="8"/>
    </row>
    <row r="530" ht="12.75" customHeight="1">
      <c r="D530" s="13"/>
      <c r="E530" s="8"/>
    </row>
    <row r="531" ht="12.75" customHeight="1">
      <c r="D531" s="13"/>
      <c r="E531" s="8"/>
    </row>
    <row r="532" ht="12.75" customHeight="1">
      <c r="D532" s="13"/>
      <c r="E532" s="8"/>
    </row>
    <row r="533" ht="12.75" customHeight="1">
      <c r="D533" s="13"/>
      <c r="E533" s="8"/>
    </row>
    <row r="534" ht="12.75" customHeight="1">
      <c r="D534" s="13"/>
      <c r="E534" s="8"/>
    </row>
    <row r="535" ht="12.75" customHeight="1">
      <c r="D535" s="13"/>
      <c r="E535" s="8"/>
    </row>
    <row r="536" ht="12.75" customHeight="1">
      <c r="D536" s="13"/>
      <c r="E536" s="8"/>
    </row>
    <row r="537" ht="12.75" customHeight="1">
      <c r="D537" s="13"/>
      <c r="E537" s="8"/>
    </row>
    <row r="538" ht="12.75" customHeight="1">
      <c r="D538" s="13"/>
      <c r="E538" s="8"/>
    </row>
    <row r="539" ht="12.75" customHeight="1">
      <c r="D539" s="13"/>
      <c r="E539" s="8"/>
    </row>
    <row r="540" ht="12.75" customHeight="1">
      <c r="D540" s="13"/>
      <c r="E540" s="8"/>
    </row>
    <row r="541" ht="12.75" customHeight="1">
      <c r="D541" s="13"/>
      <c r="E541" s="8"/>
    </row>
    <row r="542" ht="12.75" customHeight="1">
      <c r="D542" s="13"/>
      <c r="E542" s="8"/>
    </row>
    <row r="543" ht="12.75" customHeight="1">
      <c r="D543" s="13"/>
      <c r="E543" s="8"/>
    </row>
    <row r="544" ht="12.75" customHeight="1">
      <c r="D544" s="13"/>
      <c r="E544" s="8"/>
    </row>
    <row r="545" ht="12.75" customHeight="1">
      <c r="D545" s="13"/>
      <c r="E545" s="8"/>
    </row>
    <row r="546" ht="12.75" customHeight="1">
      <c r="D546" s="13"/>
      <c r="E546" s="8"/>
    </row>
    <row r="547" ht="12.75" customHeight="1">
      <c r="D547" s="13"/>
      <c r="E547" s="8"/>
    </row>
    <row r="548" ht="12.75" customHeight="1">
      <c r="D548" s="13"/>
      <c r="E548" s="8"/>
    </row>
    <row r="549" ht="12.75" customHeight="1">
      <c r="D549" s="13"/>
      <c r="E549" s="8"/>
    </row>
    <row r="550" ht="12.75" customHeight="1">
      <c r="D550" s="13"/>
      <c r="E550" s="8"/>
    </row>
    <row r="551" ht="12.75" customHeight="1">
      <c r="D551" s="13"/>
      <c r="E551" s="8"/>
    </row>
    <row r="552" ht="12.75" customHeight="1">
      <c r="D552" s="13"/>
      <c r="E552" s="8"/>
    </row>
    <row r="553" ht="12.75" customHeight="1">
      <c r="D553" s="13"/>
      <c r="E553" s="8"/>
    </row>
    <row r="554" ht="12.75" customHeight="1">
      <c r="D554" s="13"/>
      <c r="E554" s="8"/>
    </row>
    <row r="555" ht="12.75" customHeight="1">
      <c r="D555" s="13"/>
      <c r="E555" s="8"/>
    </row>
    <row r="556" ht="12.75" customHeight="1">
      <c r="D556" s="13"/>
      <c r="E556" s="8"/>
    </row>
    <row r="557" ht="12.75" customHeight="1">
      <c r="D557" s="13"/>
      <c r="E557" s="8"/>
    </row>
    <row r="558" ht="12.75" customHeight="1">
      <c r="D558" s="13"/>
      <c r="E558" s="8"/>
    </row>
    <row r="559" ht="12.75" customHeight="1">
      <c r="D559" s="13"/>
      <c r="E559" s="8"/>
    </row>
    <row r="560" ht="12.75" customHeight="1">
      <c r="D560" s="13"/>
      <c r="E560" s="8"/>
    </row>
    <row r="561" ht="12.75" customHeight="1">
      <c r="D561" s="13"/>
      <c r="E561" s="8"/>
    </row>
    <row r="562" ht="12.75" customHeight="1">
      <c r="D562" s="13"/>
      <c r="E562" s="8"/>
    </row>
    <row r="563" ht="12.75" customHeight="1">
      <c r="D563" s="13"/>
      <c r="E563" s="8"/>
    </row>
    <row r="564" ht="12.75" customHeight="1">
      <c r="D564" s="13"/>
      <c r="E564" s="8"/>
    </row>
    <row r="565" ht="12.75" customHeight="1">
      <c r="D565" s="13"/>
      <c r="E565" s="8"/>
    </row>
    <row r="566" ht="12.75" customHeight="1">
      <c r="D566" s="13"/>
      <c r="E566" s="8"/>
    </row>
    <row r="567" ht="12.75" customHeight="1">
      <c r="D567" s="13"/>
      <c r="E567" s="8"/>
    </row>
    <row r="568" ht="12.75" customHeight="1">
      <c r="D568" s="13"/>
      <c r="E568" s="8"/>
    </row>
    <row r="569" ht="12.75" customHeight="1">
      <c r="D569" s="13"/>
      <c r="E569" s="8"/>
    </row>
    <row r="570" ht="12.75" customHeight="1">
      <c r="D570" s="13"/>
      <c r="E570" s="8"/>
    </row>
    <row r="571" ht="12.75" customHeight="1">
      <c r="D571" s="13"/>
      <c r="E571" s="8"/>
    </row>
    <row r="572" ht="12.75" customHeight="1">
      <c r="D572" s="13"/>
      <c r="E572" s="8"/>
    </row>
    <row r="573" ht="12.75" customHeight="1">
      <c r="D573" s="13"/>
      <c r="E573" s="8"/>
    </row>
    <row r="574" ht="12.75" customHeight="1">
      <c r="D574" s="13"/>
      <c r="E574" s="8"/>
    </row>
    <row r="575" ht="12.75" customHeight="1">
      <c r="D575" s="13"/>
      <c r="E575" s="8"/>
    </row>
    <row r="576" ht="12.75" customHeight="1">
      <c r="D576" s="13"/>
      <c r="E576" s="8"/>
    </row>
    <row r="577" ht="12.75" customHeight="1">
      <c r="D577" s="13"/>
      <c r="E577" s="8"/>
    </row>
    <row r="578" ht="12.75" customHeight="1">
      <c r="D578" s="13"/>
      <c r="E578" s="8"/>
    </row>
    <row r="579" ht="12.75" customHeight="1">
      <c r="D579" s="13"/>
      <c r="E579" s="8"/>
    </row>
    <row r="580" ht="12.75" customHeight="1">
      <c r="D580" s="13"/>
      <c r="E580" s="8"/>
    </row>
    <row r="581" ht="12.75" customHeight="1">
      <c r="D581" s="13"/>
      <c r="E581" s="8"/>
    </row>
    <row r="582" ht="12.75" customHeight="1">
      <c r="D582" s="13"/>
      <c r="E582" s="8"/>
    </row>
    <row r="583" ht="12.75" customHeight="1">
      <c r="D583" s="13"/>
      <c r="E583" s="8"/>
    </row>
    <row r="584" ht="12.75" customHeight="1">
      <c r="D584" s="13"/>
      <c r="E584" s="8"/>
    </row>
    <row r="585" ht="12.75" customHeight="1">
      <c r="D585" s="13"/>
      <c r="E585" s="8"/>
    </row>
    <row r="586" ht="12.75" customHeight="1">
      <c r="D586" s="13"/>
      <c r="E586" s="8"/>
    </row>
    <row r="587" ht="12.75" customHeight="1">
      <c r="D587" s="13"/>
      <c r="E587" s="8"/>
    </row>
    <row r="588" ht="12.75" customHeight="1">
      <c r="D588" s="13"/>
      <c r="E588" s="8"/>
    </row>
    <row r="589" ht="12.75" customHeight="1">
      <c r="D589" s="13"/>
      <c r="E589" s="8"/>
    </row>
    <row r="590" ht="12.75" customHeight="1">
      <c r="D590" s="13"/>
      <c r="E590" s="8"/>
    </row>
    <row r="591" ht="12.75" customHeight="1">
      <c r="D591" s="13"/>
      <c r="E591" s="8"/>
    </row>
    <row r="592" ht="12.75" customHeight="1">
      <c r="D592" s="13"/>
      <c r="E592" s="8"/>
    </row>
    <row r="593" ht="12.75" customHeight="1">
      <c r="D593" s="13"/>
      <c r="E593" s="8"/>
    </row>
    <row r="594" ht="12.75" customHeight="1">
      <c r="D594" s="13"/>
      <c r="E594" s="8"/>
    </row>
    <row r="595" ht="12.75" customHeight="1">
      <c r="D595" s="13"/>
      <c r="E595" s="8"/>
    </row>
    <row r="596" ht="12.75" customHeight="1">
      <c r="D596" s="13"/>
      <c r="E596" s="8"/>
    </row>
    <row r="597" ht="12.75" customHeight="1">
      <c r="D597" s="13"/>
      <c r="E597" s="8"/>
    </row>
    <row r="598" ht="12.75" customHeight="1">
      <c r="D598" s="13"/>
      <c r="E598" s="8"/>
    </row>
    <row r="599" ht="12.75" customHeight="1">
      <c r="D599" s="13"/>
      <c r="E599" s="8"/>
    </row>
    <row r="600" ht="12.75" customHeight="1">
      <c r="D600" s="13"/>
      <c r="E600" s="8"/>
    </row>
    <row r="601" ht="12.75" customHeight="1">
      <c r="D601" s="13"/>
      <c r="E601" s="8"/>
    </row>
    <row r="602" ht="12.75" customHeight="1">
      <c r="D602" s="13"/>
      <c r="E602" s="8"/>
    </row>
    <row r="603" ht="12.75" customHeight="1">
      <c r="D603" s="13"/>
      <c r="E603" s="8"/>
    </row>
    <row r="604" ht="12.75" customHeight="1">
      <c r="D604" s="13"/>
      <c r="E604" s="8"/>
    </row>
    <row r="605" ht="12.75" customHeight="1">
      <c r="D605" s="13"/>
      <c r="E605" s="8"/>
    </row>
    <row r="606" ht="12.75" customHeight="1">
      <c r="D606" s="13"/>
      <c r="E606" s="8"/>
    </row>
    <row r="607" ht="12.75" customHeight="1">
      <c r="D607" s="13"/>
      <c r="E607" s="8"/>
    </row>
    <row r="608" ht="12.75" customHeight="1">
      <c r="D608" s="13"/>
      <c r="E608" s="8"/>
    </row>
    <row r="609" ht="12.75" customHeight="1">
      <c r="D609" s="13"/>
      <c r="E609" s="8"/>
    </row>
    <row r="610" ht="12.75" customHeight="1">
      <c r="D610" s="13"/>
      <c r="E610" s="8"/>
    </row>
    <row r="611" ht="12.75" customHeight="1">
      <c r="D611" s="13"/>
      <c r="E611" s="8"/>
    </row>
    <row r="612" ht="12.75" customHeight="1">
      <c r="D612" s="13"/>
      <c r="E612" s="8"/>
    </row>
    <row r="613" ht="12.75" customHeight="1">
      <c r="D613" s="13"/>
      <c r="E613" s="8"/>
    </row>
    <row r="614" ht="12.75" customHeight="1">
      <c r="D614" s="13"/>
      <c r="E614" s="8"/>
    </row>
    <row r="615" ht="12.75" customHeight="1">
      <c r="D615" s="13"/>
      <c r="E615" s="8"/>
    </row>
    <row r="616" ht="12.75" customHeight="1">
      <c r="D616" s="13"/>
      <c r="E616" s="8"/>
    </row>
    <row r="617" ht="12.75" customHeight="1">
      <c r="D617" s="13"/>
      <c r="E617" s="8"/>
    </row>
    <row r="618" ht="12.75" customHeight="1">
      <c r="D618" s="13"/>
      <c r="E618" s="8"/>
    </row>
    <row r="619" ht="12.75" customHeight="1">
      <c r="D619" s="13"/>
      <c r="E619" s="8"/>
    </row>
    <row r="620" ht="12.75" customHeight="1">
      <c r="D620" s="13"/>
      <c r="E620" s="8"/>
    </row>
    <row r="621" ht="12.75" customHeight="1">
      <c r="D621" s="13"/>
      <c r="E621" s="8"/>
    </row>
    <row r="622" ht="12.75" customHeight="1">
      <c r="D622" s="13"/>
      <c r="E622" s="8"/>
    </row>
    <row r="623" ht="12.75" customHeight="1">
      <c r="D623" s="13"/>
      <c r="E623" s="8"/>
    </row>
    <row r="624" ht="12.75" customHeight="1">
      <c r="D624" s="13"/>
      <c r="E624" s="8"/>
    </row>
    <row r="625" ht="12.75" customHeight="1">
      <c r="D625" s="13"/>
      <c r="E625" s="8"/>
    </row>
    <row r="626" ht="12.75" customHeight="1">
      <c r="D626" s="13"/>
      <c r="E626" s="8"/>
    </row>
    <row r="627" ht="12.75" customHeight="1">
      <c r="D627" s="13"/>
      <c r="E627" s="8"/>
    </row>
    <row r="628" ht="12.75" customHeight="1">
      <c r="D628" s="13"/>
      <c r="E628" s="8"/>
    </row>
    <row r="629" ht="12.75" customHeight="1">
      <c r="D629" s="13"/>
      <c r="E629" s="8"/>
    </row>
    <row r="630" ht="12.75" customHeight="1">
      <c r="D630" s="13"/>
      <c r="E630" s="8"/>
    </row>
    <row r="631" ht="12.75" customHeight="1">
      <c r="D631" s="13"/>
      <c r="E631" s="8"/>
    </row>
    <row r="632" ht="12.75" customHeight="1">
      <c r="D632" s="13"/>
      <c r="E632" s="8"/>
    </row>
    <row r="633" ht="12.75" customHeight="1">
      <c r="D633" s="13"/>
      <c r="E633" s="8"/>
    </row>
    <row r="634" ht="12.75" customHeight="1">
      <c r="D634" s="13"/>
      <c r="E634" s="8"/>
    </row>
    <row r="635" ht="12.75" customHeight="1">
      <c r="D635" s="13"/>
      <c r="E635" s="8"/>
    </row>
    <row r="636" ht="12.75" customHeight="1">
      <c r="D636" s="13"/>
      <c r="E636" s="8"/>
    </row>
    <row r="637" ht="12.75" customHeight="1">
      <c r="D637" s="13"/>
      <c r="E637" s="8"/>
    </row>
    <row r="638" ht="12.75" customHeight="1">
      <c r="D638" s="13"/>
      <c r="E638" s="8"/>
    </row>
    <row r="639" ht="12.75" customHeight="1">
      <c r="D639" s="13"/>
      <c r="E639" s="8"/>
    </row>
    <row r="640" ht="12.75" customHeight="1">
      <c r="D640" s="13"/>
      <c r="E640" s="8"/>
    </row>
    <row r="641" ht="12.75" customHeight="1">
      <c r="D641" s="13"/>
      <c r="E641" s="8"/>
    </row>
    <row r="642" ht="12.75" customHeight="1">
      <c r="D642" s="13"/>
      <c r="E642" s="8"/>
    </row>
    <row r="643" ht="12.75" customHeight="1">
      <c r="D643" s="13"/>
      <c r="E643" s="8"/>
    </row>
    <row r="644" ht="12.75" customHeight="1">
      <c r="D644" s="13"/>
      <c r="E644" s="8"/>
    </row>
    <row r="645" ht="12.75" customHeight="1">
      <c r="D645" s="13"/>
      <c r="E645" s="8"/>
    </row>
    <row r="646" ht="12.75" customHeight="1">
      <c r="D646" s="13"/>
      <c r="E646" s="8"/>
    </row>
    <row r="647" ht="12.75" customHeight="1">
      <c r="D647" s="13"/>
      <c r="E647" s="8"/>
    </row>
    <row r="648" ht="12.75" customHeight="1">
      <c r="D648" s="13"/>
      <c r="E648" s="8"/>
    </row>
    <row r="649" ht="12.75" customHeight="1">
      <c r="D649" s="13"/>
      <c r="E649" s="8"/>
    </row>
    <row r="650" ht="12.75" customHeight="1">
      <c r="D650" s="13"/>
      <c r="E650" s="8"/>
    </row>
    <row r="651" ht="12.75" customHeight="1">
      <c r="D651" s="13"/>
      <c r="E651" s="8"/>
    </row>
    <row r="652" ht="12.75" customHeight="1">
      <c r="D652" s="13"/>
      <c r="E652" s="8"/>
    </row>
    <row r="653" ht="12.75" customHeight="1">
      <c r="D653" s="13"/>
      <c r="E653" s="8"/>
    </row>
    <row r="654" ht="12.75" customHeight="1">
      <c r="D654" s="13"/>
      <c r="E654" s="8"/>
    </row>
    <row r="655" ht="12.75" customHeight="1">
      <c r="D655" s="13"/>
      <c r="E655" s="8"/>
    </row>
    <row r="656" ht="12.75" customHeight="1">
      <c r="D656" s="13"/>
      <c r="E656" s="8"/>
    </row>
    <row r="657" ht="12.75" customHeight="1">
      <c r="D657" s="13"/>
      <c r="E657" s="8"/>
    </row>
    <row r="658" ht="12.75" customHeight="1">
      <c r="D658" s="13"/>
      <c r="E658" s="8"/>
    </row>
    <row r="659" ht="12.75" customHeight="1">
      <c r="D659" s="13"/>
      <c r="E659" s="8"/>
    </row>
    <row r="660" ht="12.75" customHeight="1">
      <c r="D660" s="13"/>
      <c r="E660" s="8"/>
    </row>
    <row r="661" ht="12.75" customHeight="1">
      <c r="D661" s="13"/>
      <c r="E661" s="8"/>
    </row>
    <row r="662" ht="12.75" customHeight="1">
      <c r="D662" s="13"/>
      <c r="E662" s="8"/>
    </row>
    <row r="663" ht="12.75" customHeight="1">
      <c r="D663" s="13"/>
      <c r="E663" s="8"/>
    </row>
    <row r="664" ht="12.75" customHeight="1">
      <c r="D664" s="13"/>
      <c r="E664" s="8"/>
    </row>
    <row r="665" ht="12.75" customHeight="1">
      <c r="D665" s="13"/>
      <c r="E665" s="8"/>
    </row>
    <row r="666" ht="12.75" customHeight="1">
      <c r="D666" s="13"/>
      <c r="E666" s="8"/>
    </row>
    <row r="667" ht="12.75" customHeight="1">
      <c r="D667" s="13"/>
      <c r="E667" s="8"/>
    </row>
    <row r="668" ht="12.75" customHeight="1">
      <c r="D668" s="13"/>
      <c r="E668" s="8"/>
    </row>
    <row r="669" ht="12.75" customHeight="1">
      <c r="D669" s="13"/>
      <c r="E669" s="8"/>
    </row>
    <row r="670" ht="12.75" customHeight="1">
      <c r="D670" s="13"/>
      <c r="E670" s="8"/>
    </row>
    <row r="671" ht="12.75" customHeight="1">
      <c r="D671" s="13"/>
      <c r="E671" s="8"/>
    </row>
    <row r="672" ht="12.75" customHeight="1">
      <c r="D672" s="13"/>
      <c r="E672" s="8"/>
    </row>
    <row r="673" ht="12.75" customHeight="1">
      <c r="D673" s="13"/>
      <c r="E673" s="8"/>
    </row>
    <row r="674" ht="12.75" customHeight="1">
      <c r="D674" s="13"/>
      <c r="E674" s="8"/>
    </row>
    <row r="675" ht="12.75" customHeight="1">
      <c r="D675" s="13"/>
      <c r="E675" s="8"/>
    </row>
    <row r="676" ht="12.75" customHeight="1">
      <c r="D676" s="13"/>
      <c r="E676" s="8"/>
    </row>
    <row r="677" ht="12.75" customHeight="1">
      <c r="D677" s="13"/>
      <c r="E677" s="8"/>
    </row>
    <row r="678" ht="12.75" customHeight="1">
      <c r="D678" s="13"/>
      <c r="E678" s="8"/>
    </row>
    <row r="679" ht="12.75" customHeight="1">
      <c r="D679" s="13"/>
      <c r="E679" s="8"/>
    </row>
    <row r="680" ht="12.75" customHeight="1">
      <c r="D680" s="13"/>
      <c r="E680" s="8"/>
    </row>
    <row r="681" ht="12.75" customHeight="1">
      <c r="D681" s="13"/>
      <c r="E681" s="8"/>
    </row>
    <row r="682" ht="12.75" customHeight="1">
      <c r="D682" s="13"/>
      <c r="E682" s="8"/>
    </row>
    <row r="683" ht="12.75" customHeight="1">
      <c r="D683" s="13"/>
      <c r="E683" s="8"/>
    </row>
    <row r="684" ht="12.75" customHeight="1">
      <c r="D684" s="13"/>
      <c r="E684" s="8"/>
    </row>
    <row r="685" ht="12.75" customHeight="1">
      <c r="D685" s="13"/>
      <c r="E685" s="8"/>
    </row>
    <row r="686" ht="12.75" customHeight="1">
      <c r="D686" s="13"/>
      <c r="E686" s="8"/>
    </row>
    <row r="687" ht="12.75" customHeight="1">
      <c r="D687" s="13"/>
      <c r="E687" s="8"/>
    </row>
    <row r="688" ht="12.75" customHeight="1">
      <c r="D688" s="13"/>
      <c r="E688" s="8"/>
    </row>
    <row r="689" ht="12.75" customHeight="1">
      <c r="D689" s="13"/>
      <c r="E689" s="8"/>
    </row>
    <row r="690" ht="12.75" customHeight="1">
      <c r="D690" s="13"/>
      <c r="E690" s="8"/>
    </row>
    <row r="691" ht="12.75" customHeight="1">
      <c r="D691" s="13"/>
      <c r="E691" s="8"/>
    </row>
    <row r="692" ht="12.75" customHeight="1">
      <c r="D692" s="13"/>
      <c r="E692" s="8"/>
    </row>
    <row r="693" ht="12.75" customHeight="1">
      <c r="D693" s="13"/>
      <c r="E693" s="8"/>
    </row>
    <row r="694" ht="12.75" customHeight="1">
      <c r="D694" s="13"/>
      <c r="E694" s="8"/>
    </row>
    <row r="695" ht="12.75" customHeight="1">
      <c r="D695" s="13"/>
      <c r="E695" s="8"/>
    </row>
    <row r="696" ht="12.75" customHeight="1">
      <c r="D696" s="13"/>
      <c r="E696" s="8"/>
    </row>
    <row r="697" ht="12.75" customHeight="1">
      <c r="D697" s="13"/>
      <c r="E697" s="8"/>
    </row>
    <row r="698" ht="12.75" customHeight="1">
      <c r="D698" s="13"/>
      <c r="E698" s="8"/>
    </row>
    <row r="699" ht="12.75" customHeight="1">
      <c r="D699" s="13"/>
      <c r="E699" s="8"/>
    </row>
    <row r="700" ht="12.75" customHeight="1">
      <c r="D700" s="13"/>
      <c r="E700" s="8"/>
    </row>
    <row r="701" ht="12.75" customHeight="1">
      <c r="D701" s="13"/>
      <c r="E701" s="8"/>
    </row>
    <row r="702" ht="12.75" customHeight="1">
      <c r="D702" s="13"/>
      <c r="E702" s="8"/>
    </row>
    <row r="703" ht="12.75" customHeight="1">
      <c r="D703" s="13"/>
      <c r="E703" s="8"/>
    </row>
    <row r="704" ht="12.75" customHeight="1">
      <c r="D704" s="13"/>
      <c r="E704" s="8"/>
    </row>
    <row r="705" ht="12.75" customHeight="1">
      <c r="D705" s="13"/>
      <c r="E705" s="8"/>
    </row>
    <row r="706" ht="12.75" customHeight="1">
      <c r="D706" s="13"/>
      <c r="E706" s="8"/>
    </row>
    <row r="707" ht="12.75" customHeight="1">
      <c r="D707" s="13"/>
      <c r="E707" s="8"/>
    </row>
    <row r="708" ht="12.75" customHeight="1">
      <c r="D708" s="13"/>
      <c r="E708" s="8"/>
    </row>
    <row r="709" ht="12.75" customHeight="1">
      <c r="D709" s="13"/>
      <c r="E709" s="8"/>
    </row>
    <row r="710" ht="12.75" customHeight="1">
      <c r="D710" s="13"/>
      <c r="E710" s="8"/>
    </row>
    <row r="711" ht="12.75" customHeight="1">
      <c r="D711" s="13"/>
      <c r="E711" s="8"/>
    </row>
    <row r="712" ht="12.75" customHeight="1">
      <c r="D712" s="13"/>
      <c r="E712" s="8"/>
    </row>
    <row r="713" ht="12.75" customHeight="1">
      <c r="D713" s="13"/>
      <c r="E713" s="8"/>
    </row>
    <row r="714" ht="12.75" customHeight="1">
      <c r="D714" s="13"/>
      <c r="E714" s="8"/>
    </row>
    <row r="715" ht="12.75" customHeight="1">
      <c r="D715" s="13"/>
      <c r="E715" s="8"/>
    </row>
    <row r="716" ht="12.75" customHeight="1">
      <c r="D716" s="13"/>
      <c r="E716" s="8"/>
    </row>
    <row r="717" ht="12.75" customHeight="1">
      <c r="D717" s="13"/>
      <c r="E717" s="8"/>
    </row>
    <row r="718" ht="12.75" customHeight="1">
      <c r="D718" s="13"/>
      <c r="E718" s="8"/>
    </row>
    <row r="719" ht="12.75" customHeight="1">
      <c r="D719" s="13"/>
      <c r="E719" s="8"/>
    </row>
    <row r="720" ht="12.75" customHeight="1">
      <c r="D720" s="13"/>
      <c r="E720" s="8"/>
    </row>
    <row r="721" ht="12.75" customHeight="1">
      <c r="D721" s="13"/>
      <c r="E721" s="8"/>
    </row>
    <row r="722" ht="12.75" customHeight="1">
      <c r="D722" s="13"/>
      <c r="E722" s="8"/>
    </row>
    <row r="723" ht="12.75" customHeight="1">
      <c r="D723" s="13"/>
      <c r="E723" s="8"/>
    </row>
    <row r="724" ht="12.75" customHeight="1">
      <c r="D724" s="13"/>
      <c r="E724" s="8"/>
    </row>
    <row r="725" ht="12.75" customHeight="1">
      <c r="D725" s="13"/>
      <c r="E725" s="8"/>
    </row>
    <row r="726" ht="12.75" customHeight="1">
      <c r="D726" s="13"/>
      <c r="E726" s="8"/>
    </row>
    <row r="727" ht="12.75" customHeight="1">
      <c r="D727" s="13"/>
      <c r="E727" s="8"/>
    </row>
    <row r="728" ht="12.75" customHeight="1">
      <c r="D728" s="13"/>
      <c r="E728" s="8"/>
    </row>
    <row r="729" ht="12.75" customHeight="1">
      <c r="D729" s="13"/>
      <c r="E729" s="8"/>
    </row>
    <row r="730" ht="12.75" customHeight="1">
      <c r="D730" s="13"/>
      <c r="E730" s="8"/>
    </row>
    <row r="731" ht="12.75" customHeight="1">
      <c r="D731" s="13"/>
      <c r="E731" s="8"/>
    </row>
    <row r="732" ht="12.75" customHeight="1">
      <c r="D732" s="13"/>
      <c r="E732" s="8"/>
    </row>
    <row r="733" ht="12.75" customHeight="1">
      <c r="D733" s="13"/>
      <c r="E733" s="8"/>
    </row>
    <row r="734" ht="12.75" customHeight="1">
      <c r="D734" s="13"/>
      <c r="E734" s="8"/>
    </row>
    <row r="735" ht="12.75" customHeight="1">
      <c r="D735" s="13"/>
      <c r="E735" s="8"/>
    </row>
    <row r="736" ht="12.75" customHeight="1">
      <c r="D736" s="13"/>
      <c r="E736" s="8"/>
    </row>
    <row r="737" ht="12.75" customHeight="1">
      <c r="D737" s="13"/>
      <c r="E737" s="8"/>
    </row>
    <row r="738" ht="12.75" customHeight="1">
      <c r="D738" s="13"/>
      <c r="E738" s="8"/>
    </row>
    <row r="739" ht="12.75" customHeight="1">
      <c r="D739" s="13"/>
      <c r="E739" s="8"/>
    </row>
    <row r="740" ht="12.75" customHeight="1">
      <c r="D740" s="13"/>
      <c r="E740" s="8"/>
    </row>
    <row r="741" ht="12.75" customHeight="1">
      <c r="D741" s="13"/>
      <c r="E741" s="8"/>
    </row>
    <row r="742" ht="12.75" customHeight="1">
      <c r="D742" s="13"/>
      <c r="E742" s="8"/>
    </row>
    <row r="743" ht="12.75" customHeight="1">
      <c r="D743" s="13"/>
      <c r="E743" s="8"/>
    </row>
    <row r="744" ht="12.75" customHeight="1">
      <c r="D744" s="13"/>
      <c r="E744" s="8"/>
    </row>
    <row r="745" ht="12.75" customHeight="1">
      <c r="D745" s="13"/>
      <c r="E745" s="8"/>
    </row>
    <row r="746" ht="12.75" customHeight="1">
      <c r="D746" s="13"/>
      <c r="E746" s="8"/>
    </row>
    <row r="747" ht="12.75" customHeight="1">
      <c r="D747" s="13"/>
      <c r="E747" s="8"/>
    </row>
    <row r="748" ht="12.75" customHeight="1">
      <c r="D748" s="13"/>
      <c r="E748" s="8"/>
    </row>
    <row r="749" ht="12.75" customHeight="1">
      <c r="D749" s="13"/>
      <c r="E749" s="8"/>
    </row>
    <row r="750" ht="12.75" customHeight="1">
      <c r="D750" s="13"/>
      <c r="E750" s="8"/>
    </row>
    <row r="751" ht="12.75" customHeight="1">
      <c r="D751" s="13"/>
      <c r="E751" s="8"/>
    </row>
    <row r="752" ht="12.75" customHeight="1">
      <c r="D752" s="13"/>
      <c r="E752" s="8"/>
    </row>
    <row r="753" ht="12.75" customHeight="1">
      <c r="D753" s="13"/>
      <c r="E753" s="8"/>
    </row>
    <row r="754" ht="12.75" customHeight="1">
      <c r="D754" s="13"/>
      <c r="E754" s="8"/>
    </row>
    <row r="755" ht="12.75" customHeight="1">
      <c r="D755" s="13"/>
      <c r="E755" s="8"/>
    </row>
    <row r="756" ht="12.75" customHeight="1">
      <c r="D756" s="13"/>
      <c r="E756" s="8"/>
    </row>
    <row r="757" ht="12.75" customHeight="1">
      <c r="D757" s="13"/>
      <c r="E757" s="8"/>
    </row>
    <row r="758" ht="12.75" customHeight="1">
      <c r="D758" s="13"/>
      <c r="E758" s="8"/>
    </row>
    <row r="759" ht="12.75" customHeight="1">
      <c r="D759" s="13"/>
      <c r="E759" s="8"/>
    </row>
    <row r="760" ht="12.75" customHeight="1">
      <c r="D760" s="13"/>
      <c r="E760" s="8"/>
    </row>
    <row r="761" ht="12.75" customHeight="1">
      <c r="D761" s="13"/>
      <c r="E761" s="8"/>
    </row>
    <row r="762" ht="12.75" customHeight="1">
      <c r="D762" s="13"/>
      <c r="E762" s="8"/>
    </row>
    <row r="763" ht="12.75" customHeight="1">
      <c r="D763" s="13"/>
      <c r="E763" s="8"/>
    </row>
    <row r="764" ht="12.75" customHeight="1">
      <c r="D764" s="13"/>
      <c r="E764" s="8"/>
    </row>
    <row r="765" ht="12.75" customHeight="1">
      <c r="D765" s="13"/>
      <c r="E765" s="8"/>
    </row>
    <row r="766" ht="12.75" customHeight="1">
      <c r="D766" s="13"/>
      <c r="E766" s="8"/>
    </row>
    <row r="767" ht="12.75" customHeight="1">
      <c r="D767" s="13"/>
      <c r="E767" s="8"/>
    </row>
    <row r="768" ht="12.75" customHeight="1">
      <c r="D768" s="13"/>
      <c r="E768" s="8"/>
    </row>
    <row r="769" ht="12.75" customHeight="1">
      <c r="D769" s="13"/>
      <c r="E769" s="8"/>
    </row>
    <row r="770" ht="12.75" customHeight="1">
      <c r="D770" s="13"/>
      <c r="E770" s="8"/>
    </row>
    <row r="771" ht="12.75" customHeight="1">
      <c r="D771" s="13"/>
      <c r="E771" s="8"/>
    </row>
    <row r="772" ht="12.75" customHeight="1">
      <c r="D772" s="13"/>
      <c r="E772" s="8"/>
    </row>
    <row r="773" ht="12.75" customHeight="1">
      <c r="D773" s="13"/>
      <c r="E773" s="8"/>
    </row>
    <row r="774" ht="12.75" customHeight="1">
      <c r="D774" s="13"/>
      <c r="E774" s="8"/>
    </row>
    <row r="775" ht="12.75" customHeight="1">
      <c r="D775" s="13"/>
      <c r="E775" s="8"/>
    </row>
    <row r="776" ht="12.75" customHeight="1">
      <c r="D776" s="13"/>
      <c r="E776" s="8"/>
    </row>
    <row r="777" ht="12.75" customHeight="1">
      <c r="D777" s="13"/>
      <c r="E777" s="8"/>
    </row>
    <row r="778" ht="12.75" customHeight="1">
      <c r="D778" s="13"/>
      <c r="E778" s="8"/>
    </row>
    <row r="779" ht="12.75" customHeight="1">
      <c r="D779" s="13"/>
      <c r="E779" s="8"/>
    </row>
    <row r="780" ht="12.75" customHeight="1">
      <c r="D780" s="13"/>
      <c r="E780" s="8"/>
    </row>
    <row r="781" ht="12.75" customHeight="1">
      <c r="D781" s="13"/>
      <c r="E781" s="8"/>
    </row>
    <row r="782" ht="12.75" customHeight="1">
      <c r="D782" s="13"/>
      <c r="E782" s="8"/>
    </row>
    <row r="783" ht="12.75" customHeight="1">
      <c r="D783" s="13"/>
      <c r="E783" s="8"/>
    </row>
    <row r="784" ht="12.75" customHeight="1">
      <c r="D784" s="13"/>
      <c r="E784" s="8"/>
    </row>
    <row r="785" ht="12.75" customHeight="1">
      <c r="D785" s="13"/>
      <c r="E785" s="8"/>
    </row>
    <row r="786" ht="12.75" customHeight="1">
      <c r="D786" s="13"/>
      <c r="E786" s="8"/>
    </row>
    <row r="787" ht="12.75" customHeight="1">
      <c r="D787" s="13"/>
      <c r="E787" s="8"/>
    </row>
    <row r="788" ht="12.75" customHeight="1">
      <c r="D788" s="13"/>
      <c r="E788" s="8"/>
    </row>
    <row r="789" ht="12.75" customHeight="1">
      <c r="D789" s="13"/>
      <c r="E789" s="8"/>
    </row>
    <row r="790" ht="12.75" customHeight="1">
      <c r="D790" s="13"/>
      <c r="E790" s="8"/>
    </row>
    <row r="791" ht="12.75" customHeight="1">
      <c r="D791" s="13"/>
      <c r="E791" s="8"/>
    </row>
    <row r="792" ht="12.75" customHeight="1">
      <c r="D792" s="13"/>
      <c r="E792" s="8"/>
    </row>
    <row r="793" ht="12.75" customHeight="1">
      <c r="D793" s="13"/>
      <c r="E793" s="8"/>
    </row>
    <row r="794" ht="12.75" customHeight="1">
      <c r="D794" s="13"/>
      <c r="E794" s="8"/>
    </row>
    <row r="795" ht="12.75" customHeight="1">
      <c r="D795" s="13"/>
      <c r="E795" s="8"/>
    </row>
    <row r="796" ht="12.75" customHeight="1">
      <c r="D796" s="13"/>
      <c r="E796" s="8"/>
    </row>
    <row r="797" ht="12.75" customHeight="1">
      <c r="D797" s="13"/>
      <c r="E797" s="8"/>
    </row>
    <row r="798" ht="12.75" customHeight="1">
      <c r="D798" s="13"/>
      <c r="E798" s="8"/>
    </row>
    <row r="799" ht="12.75" customHeight="1">
      <c r="D799" s="13"/>
      <c r="E799" s="8"/>
    </row>
    <row r="800" ht="12.75" customHeight="1">
      <c r="D800" s="13"/>
      <c r="E800" s="8"/>
    </row>
    <row r="801" ht="12.75" customHeight="1">
      <c r="D801" s="13"/>
      <c r="E801" s="8"/>
    </row>
    <row r="802" ht="12.75" customHeight="1">
      <c r="D802" s="13"/>
      <c r="E802" s="8"/>
    </row>
    <row r="803" ht="12.75" customHeight="1">
      <c r="D803" s="13"/>
      <c r="E803" s="8"/>
    </row>
    <row r="804" ht="12.75" customHeight="1">
      <c r="D804" s="13"/>
      <c r="E804" s="8"/>
    </row>
    <row r="805" ht="12.75" customHeight="1">
      <c r="D805" s="13"/>
      <c r="E805" s="8"/>
    </row>
    <row r="806" ht="12.75" customHeight="1">
      <c r="D806" s="13"/>
      <c r="E806" s="8"/>
    </row>
    <row r="807" ht="12.75" customHeight="1">
      <c r="D807" s="13"/>
      <c r="E807" s="8"/>
    </row>
    <row r="808" ht="12.75" customHeight="1">
      <c r="D808" s="13"/>
      <c r="E808" s="8"/>
    </row>
    <row r="809" ht="12.75" customHeight="1">
      <c r="D809" s="13"/>
      <c r="E809" s="8"/>
    </row>
    <row r="810" ht="12.75" customHeight="1">
      <c r="D810" s="13"/>
      <c r="E810" s="8"/>
    </row>
    <row r="811" ht="12.75" customHeight="1">
      <c r="D811" s="13"/>
      <c r="E811" s="8"/>
    </row>
    <row r="812" ht="12.75" customHeight="1">
      <c r="D812" s="13"/>
      <c r="E812" s="8"/>
    </row>
    <row r="813" ht="12.75" customHeight="1">
      <c r="D813" s="13"/>
      <c r="E813" s="8"/>
    </row>
    <row r="814" ht="12.75" customHeight="1">
      <c r="D814" s="13"/>
      <c r="E814" s="8"/>
    </row>
    <row r="815" ht="12.75" customHeight="1">
      <c r="D815" s="13"/>
      <c r="E815" s="8"/>
    </row>
    <row r="816" ht="12.75" customHeight="1">
      <c r="D816" s="13"/>
      <c r="E816" s="8"/>
    </row>
    <row r="817" ht="12.75" customHeight="1">
      <c r="D817" s="13"/>
      <c r="E817" s="8"/>
    </row>
    <row r="818" ht="12.75" customHeight="1">
      <c r="D818" s="13"/>
      <c r="E818" s="8"/>
    </row>
    <row r="819" ht="12.75" customHeight="1">
      <c r="D819" s="13"/>
      <c r="E819" s="8"/>
    </row>
    <row r="820" ht="12.75" customHeight="1">
      <c r="D820" s="13"/>
      <c r="E820" s="8"/>
    </row>
    <row r="821" ht="12.75" customHeight="1">
      <c r="D821" s="13"/>
      <c r="E821" s="8"/>
    </row>
    <row r="822" ht="12.75" customHeight="1">
      <c r="D822" s="13"/>
      <c r="E822" s="8"/>
    </row>
    <row r="823" ht="12.75" customHeight="1">
      <c r="D823" s="13"/>
      <c r="E823" s="8"/>
    </row>
    <row r="824" ht="12.75" customHeight="1">
      <c r="D824" s="13"/>
      <c r="E824" s="8"/>
    </row>
    <row r="825" ht="12.75" customHeight="1">
      <c r="D825" s="13"/>
      <c r="E825" s="8"/>
    </row>
    <row r="826" ht="12.75" customHeight="1">
      <c r="D826" s="13"/>
      <c r="E826" s="8"/>
    </row>
    <row r="827" ht="12.75" customHeight="1">
      <c r="D827" s="13"/>
      <c r="E827" s="8"/>
    </row>
    <row r="828" ht="12.75" customHeight="1">
      <c r="D828" s="13"/>
      <c r="E828" s="8"/>
    </row>
    <row r="829" ht="12.75" customHeight="1">
      <c r="D829" s="13"/>
      <c r="E829" s="8"/>
    </row>
    <row r="830" ht="12.75" customHeight="1">
      <c r="D830" s="13"/>
      <c r="E830" s="8"/>
    </row>
    <row r="831" ht="12.75" customHeight="1">
      <c r="D831" s="13"/>
      <c r="E831" s="8"/>
    </row>
    <row r="832" ht="12.75" customHeight="1">
      <c r="D832" s="13"/>
      <c r="E832" s="8"/>
    </row>
    <row r="833" ht="12.75" customHeight="1">
      <c r="D833" s="13"/>
      <c r="E833" s="8"/>
    </row>
    <row r="834" ht="12.75" customHeight="1">
      <c r="D834" s="13"/>
      <c r="E834" s="8"/>
    </row>
    <row r="835" ht="12.75" customHeight="1">
      <c r="D835" s="13"/>
      <c r="E835" s="8"/>
    </row>
    <row r="836" ht="12.75" customHeight="1">
      <c r="D836" s="13"/>
      <c r="E836" s="8"/>
    </row>
    <row r="837" ht="12.75" customHeight="1">
      <c r="D837" s="13"/>
      <c r="E837" s="8"/>
    </row>
    <row r="838" ht="12.75" customHeight="1">
      <c r="D838" s="13"/>
      <c r="E838" s="8"/>
    </row>
    <row r="839" ht="12.75" customHeight="1">
      <c r="D839" s="13"/>
      <c r="E839" s="8"/>
    </row>
    <row r="840" ht="12.75" customHeight="1">
      <c r="D840" s="13"/>
      <c r="E840" s="8"/>
    </row>
    <row r="841" ht="12.75" customHeight="1">
      <c r="D841" s="13"/>
      <c r="E841" s="8"/>
    </row>
    <row r="842" ht="12.75" customHeight="1">
      <c r="D842" s="13"/>
      <c r="E842" s="8"/>
    </row>
    <row r="843" ht="12.75" customHeight="1">
      <c r="D843" s="13"/>
      <c r="E843" s="8"/>
    </row>
    <row r="844" ht="12.75" customHeight="1">
      <c r="D844" s="13"/>
      <c r="E844" s="8"/>
    </row>
    <row r="845" ht="12.75" customHeight="1">
      <c r="D845" s="13"/>
      <c r="E845" s="8"/>
    </row>
    <row r="846" ht="12.75" customHeight="1">
      <c r="D846" s="13"/>
      <c r="E846" s="8"/>
    </row>
    <row r="847" ht="12.75" customHeight="1">
      <c r="D847" s="13"/>
      <c r="E847" s="8"/>
    </row>
    <row r="848" ht="12.75" customHeight="1">
      <c r="D848" s="13"/>
      <c r="E848" s="8"/>
    </row>
    <row r="849" ht="12.75" customHeight="1">
      <c r="D849" s="13"/>
      <c r="E849" s="8"/>
    </row>
    <row r="850" ht="12.75" customHeight="1">
      <c r="D850" s="13"/>
      <c r="E850" s="8"/>
    </row>
    <row r="851" ht="12.75" customHeight="1">
      <c r="D851" s="13"/>
      <c r="E851" s="8"/>
    </row>
    <row r="852" ht="12.75" customHeight="1">
      <c r="D852" s="13"/>
      <c r="E852" s="8"/>
    </row>
    <row r="853" ht="12.75" customHeight="1">
      <c r="D853" s="13"/>
      <c r="E853" s="8"/>
    </row>
    <row r="854" ht="12.75" customHeight="1">
      <c r="D854" s="13"/>
      <c r="E854" s="8"/>
    </row>
    <row r="855" ht="12.75" customHeight="1">
      <c r="D855" s="13"/>
      <c r="E855" s="8"/>
    </row>
    <row r="856" ht="12.75" customHeight="1">
      <c r="D856" s="13"/>
      <c r="E856" s="8"/>
    </row>
    <row r="857" ht="12.75" customHeight="1">
      <c r="D857" s="13"/>
      <c r="E857" s="8"/>
    </row>
    <row r="858" ht="12.75" customHeight="1">
      <c r="D858" s="13"/>
      <c r="E858" s="8"/>
    </row>
    <row r="859" ht="12.75" customHeight="1">
      <c r="D859" s="13"/>
      <c r="E859" s="8"/>
    </row>
    <row r="860" ht="12.75" customHeight="1">
      <c r="D860" s="13"/>
      <c r="E860" s="8"/>
    </row>
    <row r="861" ht="12.75" customHeight="1">
      <c r="D861" s="13"/>
      <c r="E861" s="8"/>
    </row>
    <row r="862" ht="12.75" customHeight="1">
      <c r="D862" s="13"/>
      <c r="E862" s="8"/>
    </row>
    <row r="863" ht="12.75" customHeight="1">
      <c r="D863" s="13"/>
      <c r="E863" s="8"/>
    </row>
    <row r="864" ht="12.75" customHeight="1">
      <c r="D864" s="13"/>
      <c r="E864" s="8"/>
    </row>
    <row r="865" ht="12.75" customHeight="1">
      <c r="D865" s="13"/>
      <c r="E865" s="8"/>
    </row>
    <row r="866" ht="12.75" customHeight="1">
      <c r="D866" s="13"/>
      <c r="E866" s="8"/>
    </row>
    <row r="867" ht="12.75" customHeight="1">
      <c r="D867" s="13"/>
      <c r="E867" s="8"/>
    </row>
    <row r="868" ht="12.75" customHeight="1">
      <c r="D868" s="13"/>
      <c r="E868" s="8"/>
    </row>
    <row r="869" ht="12.75" customHeight="1">
      <c r="D869" s="13"/>
      <c r="E869" s="8"/>
    </row>
    <row r="870" ht="12.75" customHeight="1">
      <c r="D870" s="13"/>
      <c r="E870" s="8"/>
    </row>
    <row r="871" ht="12.75" customHeight="1">
      <c r="D871" s="13"/>
      <c r="E871" s="8"/>
    </row>
    <row r="872" ht="12.75" customHeight="1">
      <c r="D872" s="13"/>
      <c r="E872" s="8"/>
    </row>
    <row r="873" ht="12.75" customHeight="1">
      <c r="D873" s="13"/>
      <c r="E873" s="8"/>
    </row>
    <row r="874" ht="12.75" customHeight="1">
      <c r="D874" s="13"/>
      <c r="E874" s="8"/>
    </row>
    <row r="875" ht="12.75" customHeight="1">
      <c r="D875" s="13"/>
      <c r="E875" s="8"/>
    </row>
    <row r="876" ht="12.75" customHeight="1">
      <c r="D876" s="13"/>
      <c r="E876" s="8"/>
    </row>
    <row r="877" ht="12.75" customHeight="1">
      <c r="D877" s="13"/>
      <c r="E877" s="8"/>
    </row>
    <row r="878" ht="12.75" customHeight="1">
      <c r="D878" s="13"/>
      <c r="E878" s="8"/>
    </row>
    <row r="879" ht="12.75" customHeight="1">
      <c r="D879" s="13"/>
      <c r="E879" s="8"/>
    </row>
    <row r="880" ht="12.75" customHeight="1">
      <c r="D880" s="13"/>
      <c r="E880" s="8"/>
    </row>
    <row r="881" ht="12.75" customHeight="1">
      <c r="D881" s="13"/>
      <c r="E881" s="8"/>
    </row>
    <row r="882" ht="12.75" customHeight="1">
      <c r="D882" s="13"/>
      <c r="E882" s="8"/>
    </row>
    <row r="883" ht="12.75" customHeight="1">
      <c r="D883" s="13"/>
      <c r="E883" s="8"/>
    </row>
    <row r="884" ht="12.75" customHeight="1">
      <c r="D884" s="13"/>
      <c r="E884" s="8"/>
    </row>
    <row r="885" ht="12.75" customHeight="1">
      <c r="D885" s="13"/>
      <c r="E885" s="8"/>
    </row>
    <row r="886" ht="12.75" customHeight="1">
      <c r="D886" s="13"/>
      <c r="E886" s="8"/>
    </row>
    <row r="887" ht="12.75" customHeight="1">
      <c r="D887" s="13"/>
      <c r="E887" s="8"/>
    </row>
    <row r="888" ht="12.75" customHeight="1">
      <c r="D888" s="13"/>
      <c r="E888" s="8"/>
    </row>
    <row r="889" ht="12.75" customHeight="1">
      <c r="D889" s="13"/>
      <c r="E889" s="8"/>
    </row>
    <row r="890" ht="12.75" customHeight="1">
      <c r="D890" s="13"/>
      <c r="E890" s="8"/>
    </row>
    <row r="891" ht="12.75" customHeight="1">
      <c r="D891" s="13"/>
      <c r="E891" s="8"/>
    </row>
    <row r="892" ht="12.75" customHeight="1">
      <c r="D892" s="13"/>
      <c r="E892" s="8"/>
    </row>
    <row r="893" ht="12.75" customHeight="1">
      <c r="D893" s="13"/>
      <c r="E893" s="8"/>
    </row>
    <row r="894" ht="12.75" customHeight="1">
      <c r="D894" s="13"/>
      <c r="E894" s="8"/>
    </row>
    <row r="895" ht="12.75" customHeight="1">
      <c r="D895" s="13"/>
      <c r="E895" s="8"/>
    </row>
    <row r="896" ht="12.75" customHeight="1">
      <c r="D896" s="13"/>
      <c r="E896" s="8"/>
    </row>
    <row r="897" ht="12.75" customHeight="1">
      <c r="D897" s="13"/>
      <c r="E897" s="8"/>
    </row>
    <row r="898" ht="12.75" customHeight="1">
      <c r="D898" s="13"/>
      <c r="E898" s="8"/>
    </row>
    <row r="899" ht="12.75" customHeight="1">
      <c r="D899" s="13"/>
      <c r="E899" s="8"/>
    </row>
    <row r="900" ht="12.75" customHeight="1">
      <c r="D900" s="13"/>
      <c r="E900" s="8"/>
    </row>
    <row r="901" ht="12.75" customHeight="1">
      <c r="D901" s="13"/>
      <c r="E901" s="8"/>
    </row>
    <row r="902" ht="12.75" customHeight="1">
      <c r="D902" s="13"/>
      <c r="E902" s="8"/>
    </row>
    <row r="903" ht="12.75" customHeight="1">
      <c r="D903" s="13"/>
      <c r="E903" s="8"/>
    </row>
    <row r="904" ht="12.75" customHeight="1">
      <c r="D904" s="13"/>
      <c r="E904" s="8"/>
    </row>
    <row r="905" ht="12.75" customHeight="1">
      <c r="D905" s="13"/>
      <c r="E905" s="8"/>
    </row>
    <row r="906" ht="12.75" customHeight="1">
      <c r="D906" s="13"/>
      <c r="E906" s="8"/>
    </row>
    <row r="907" ht="12.75" customHeight="1">
      <c r="D907" s="13"/>
      <c r="E907" s="8"/>
    </row>
    <row r="908" ht="12.75" customHeight="1">
      <c r="D908" s="13"/>
      <c r="E908" s="8"/>
    </row>
    <row r="909" ht="12.75" customHeight="1">
      <c r="D909" s="13"/>
      <c r="E909" s="8"/>
    </row>
    <row r="910" ht="12.75" customHeight="1">
      <c r="D910" s="13"/>
      <c r="E910" s="8"/>
    </row>
    <row r="911" ht="12.75" customHeight="1">
      <c r="D911" s="13"/>
      <c r="E911" s="8"/>
    </row>
    <row r="912" ht="12.75" customHeight="1">
      <c r="D912" s="13"/>
      <c r="E912" s="8"/>
    </row>
    <row r="913" ht="12.75" customHeight="1">
      <c r="D913" s="13"/>
      <c r="E913" s="8"/>
    </row>
    <row r="914" ht="12.75" customHeight="1">
      <c r="D914" s="13"/>
      <c r="E914" s="8"/>
    </row>
    <row r="915" ht="12.75" customHeight="1">
      <c r="D915" s="13"/>
      <c r="E915" s="8"/>
    </row>
    <row r="916" ht="12.75" customHeight="1">
      <c r="D916" s="13"/>
      <c r="E916" s="8"/>
    </row>
    <row r="917" ht="12.75" customHeight="1">
      <c r="D917" s="13"/>
      <c r="E917" s="8"/>
    </row>
    <row r="918" ht="12.75" customHeight="1">
      <c r="D918" s="13"/>
      <c r="E918" s="8"/>
    </row>
    <row r="919" ht="12.75" customHeight="1">
      <c r="D919" s="13"/>
      <c r="E919" s="8"/>
    </row>
    <row r="920" ht="12.75" customHeight="1">
      <c r="D920" s="13"/>
      <c r="E920" s="8"/>
    </row>
    <row r="921" ht="12.75" customHeight="1">
      <c r="D921" s="13"/>
      <c r="E921" s="8"/>
    </row>
    <row r="922" ht="12.75" customHeight="1">
      <c r="D922" s="13"/>
      <c r="E922" s="8"/>
    </row>
    <row r="923" ht="12.75" customHeight="1">
      <c r="D923" s="13"/>
      <c r="E923" s="8"/>
    </row>
    <row r="924" ht="12.75" customHeight="1">
      <c r="D924" s="13"/>
      <c r="E924" s="8"/>
    </row>
    <row r="925" ht="12.75" customHeight="1">
      <c r="D925" s="13"/>
      <c r="E925" s="8"/>
    </row>
    <row r="926" ht="12.75" customHeight="1">
      <c r="D926" s="13"/>
      <c r="E926" s="8"/>
    </row>
    <row r="927" ht="12.75" customHeight="1">
      <c r="D927" s="13"/>
      <c r="E927" s="8"/>
    </row>
    <row r="928" ht="12.75" customHeight="1">
      <c r="D928" s="13"/>
      <c r="E928" s="8"/>
    </row>
    <row r="929" ht="12.75" customHeight="1">
      <c r="D929" s="13"/>
      <c r="E929" s="8"/>
    </row>
    <row r="930" ht="12.75" customHeight="1">
      <c r="D930" s="13"/>
      <c r="E930" s="8"/>
    </row>
    <row r="931" ht="12.75" customHeight="1">
      <c r="D931" s="13"/>
      <c r="E931" s="8"/>
    </row>
    <row r="932" ht="12.75" customHeight="1">
      <c r="D932" s="13"/>
      <c r="E932" s="8"/>
    </row>
    <row r="933" ht="12.75" customHeight="1">
      <c r="D933" s="13"/>
      <c r="E933" s="8"/>
    </row>
    <row r="934" ht="12.75" customHeight="1">
      <c r="D934" s="13"/>
      <c r="E934" s="8"/>
    </row>
    <row r="935" ht="12.75" customHeight="1">
      <c r="D935" s="13"/>
      <c r="E935" s="8"/>
    </row>
    <row r="936" ht="12.75" customHeight="1">
      <c r="D936" s="13"/>
      <c r="E936" s="8"/>
    </row>
    <row r="937" ht="12.75" customHeight="1">
      <c r="D937" s="13"/>
      <c r="E937" s="8"/>
    </row>
    <row r="938" ht="12.75" customHeight="1">
      <c r="D938" s="13"/>
      <c r="E938" s="8"/>
    </row>
    <row r="939" ht="12.75" customHeight="1">
      <c r="D939" s="13"/>
      <c r="E939" s="8"/>
    </row>
    <row r="940" ht="12.75" customHeight="1">
      <c r="D940" s="13"/>
      <c r="E940" s="8"/>
    </row>
    <row r="941" ht="12.75" customHeight="1">
      <c r="D941" s="13"/>
      <c r="E941" s="8"/>
    </row>
    <row r="942" ht="12.75" customHeight="1">
      <c r="D942" s="13"/>
      <c r="E942" s="8"/>
    </row>
    <row r="943" ht="12.75" customHeight="1">
      <c r="D943" s="13"/>
      <c r="E943" s="8"/>
    </row>
    <row r="944" ht="12.75" customHeight="1">
      <c r="D944" s="13"/>
      <c r="E944" s="8"/>
    </row>
    <row r="945" ht="12.75" customHeight="1">
      <c r="D945" s="13"/>
      <c r="E945" s="8"/>
    </row>
    <row r="946" ht="12.75" customHeight="1">
      <c r="D946" s="13"/>
      <c r="E946" s="8"/>
    </row>
    <row r="947" ht="12.75" customHeight="1">
      <c r="D947" s="13"/>
      <c r="E947" s="8"/>
    </row>
    <row r="948" ht="12.75" customHeight="1">
      <c r="D948" s="13"/>
      <c r="E948" s="8"/>
    </row>
    <row r="949" ht="12.75" customHeight="1">
      <c r="D949" s="13"/>
      <c r="E949" s="8"/>
    </row>
    <row r="950" ht="12.75" customHeight="1">
      <c r="D950" s="13"/>
      <c r="E950" s="8"/>
    </row>
    <row r="951" ht="12.75" customHeight="1">
      <c r="D951" s="13"/>
      <c r="E951" s="8"/>
    </row>
    <row r="952" ht="12.75" customHeight="1">
      <c r="D952" s="13"/>
      <c r="E952" s="8"/>
    </row>
    <row r="953" ht="12.75" customHeight="1">
      <c r="D953" s="13"/>
      <c r="E953" s="8"/>
    </row>
    <row r="954" ht="12.75" customHeight="1">
      <c r="D954" s="13"/>
      <c r="E954" s="8"/>
    </row>
    <row r="955" ht="12.75" customHeight="1">
      <c r="D955" s="13"/>
      <c r="E955" s="8"/>
    </row>
    <row r="956" ht="12.75" customHeight="1">
      <c r="D956" s="13"/>
      <c r="E956" s="8"/>
    </row>
    <row r="957" ht="12.75" customHeight="1">
      <c r="D957" s="13"/>
      <c r="E957" s="8"/>
    </row>
    <row r="958" ht="12.75" customHeight="1">
      <c r="D958" s="13"/>
      <c r="E958" s="8"/>
    </row>
    <row r="959" ht="12.75" customHeight="1">
      <c r="D959" s="13"/>
      <c r="E959" s="8"/>
    </row>
    <row r="960" ht="12.75" customHeight="1">
      <c r="D960" s="13"/>
      <c r="E960" s="8"/>
    </row>
    <row r="961" ht="12.75" customHeight="1">
      <c r="D961" s="13"/>
      <c r="E961" s="8"/>
    </row>
    <row r="962" ht="12.75" customHeight="1">
      <c r="D962" s="13"/>
      <c r="E962" s="8"/>
    </row>
    <row r="963" ht="12.75" customHeight="1">
      <c r="D963" s="13"/>
      <c r="E963" s="8"/>
    </row>
    <row r="964" ht="12.75" customHeight="1">
      <c r="D964" s="13"/>
      <c r="E964" s="8"/>
    </row>
    <row r="965" ht="12.75" customHeight="1">
      <c r="D965" s="13"/>
      <c r="E965" s="8"/>
    </row>
    <row r="966" ht="12.75" customHeight="1">
      <c r="D966" s="13"/>
      <c r="E966" s="8"/>
    </row>
    <row r="967" ht="12.75" customHeight="1">
      <c r="D967" s="13"/>
      <c r="E967" s="8"/>
    </row>
    <row r="968" ht="12.75" customHeight="1">
      <c r="D968" s="13"/>
      <c r="E968" s="8"/>
    </row>
    <row r="969" ht="12.75" customHeight="1">
      <c r="D969" s="13"/>
      <c r="E969" s="8"/>
    </row>
    <row r="970" ht="12.75" customHeight="1">
      <c r="D970" s="13"/>
      <c r="E970" s="8"/>
    </row>
    <row r="971" ht="12.75" customHeight="1">
      <c r="D971" s="13"/>
      <c r="E971" s="8"/>
    </row>
    <row r="972" ht="12.75" customHeight="1">
      <c r="D972" s="13"/>
      <c r="E972" s="8"/>
    </row>
    <row r="973" ht="12.75" customHeight="1">
      <c r="D973" s="13"/>
      <c r="E973" s="8"/>
    </row>
    <row r="974" ht="12.75" customHeight="1">
      <c r="D974" s="13"/>
      <c r="E974" s="8"/>
    </row>
    <row r="975" ht="12.75" customHeight="1">
      <c r="D975" s="13"/>
      <c r="E975" s="8"/>
    </row>
    <row r="976" ht="12.75" customHeight="1">
      <c r="D976" s="13"/>
      <c r="E976" s="8"/>
    </row>
    <row r="977" ht="12.75" customHeight="1">
      <c r="D977" s="13"/>
      <c r="E977" s="8"/>
    </row>
    <row r="978" ht="12.75" customHeight="1">
      <c r="D978" s="13"/>
      <c r="E978" s="8"/>
    </row>
    <row r="979" ht="12.75" customHeight="1">
      <c r="D979" s="13"/>
      <c r="E979" s="8"/>
    </row>
    <row r="980" ht="12.75" customHeight="1">
      <c r="D980" s="13"/>
      <c r="E980" s="8"/>
    </row>
    <row r="981" ht="12.75" customHeight="1">
      <c r="D981" s="13"/>
      <c r="E981" s="8"/>
    </row>
    <row r="982" ht="12.75" customHeight="1">
      <c r="D982" s="13"/>
      <c r="E982" s="8"/>
    </row>
    <row r="983" ht="12.75" customHeight="1">
      <c r="D983" s="13"/>
      <c r="E983" s="8"/>
    </row>
    <row r="984" ht="12.75" customHeight="1">
      <c r="D984" s="13"/>
      <c r="E984" s="8"/>
    </row>
    <row r="985" ht="12.75" customHeight="1">
      <c r="D985" s="13"/>
      <c r="E985" s="8"/>
    </row>
    <row r="986" ht="12.75" customHeight="1">
      <c r="D986" s="13"/>
      <c r="E986" s="8"/>
    </row>
    <row r="987" ht="12.75" customHeight="1">
      <c r="D987" s="13"/>
      <c r="E987" s="8"/>
    </row>
    <row r="988" ht="12.75" customHeight="1">
      <c r="D988" s="13"/>
      <c r="E988" s="8"/>
    </row>
    <row r="989" ht="12.75" customHeight="1">
      <c r="D989" s="13"/>
      <c r="E989" s="8"/>
    </row>
    <row r="990" ht="12.75" customHeight="1">
      <c r="D990" s="13"/>
      <c r="E990" s="8"/>
    </row>
    <row r="991" ht="12.75" customHeight="1">
      <c r="D991" s="13"/>
      <c r="E991" s="8"/>
    </row>
    <row r="992" ht="12.75" customHeight="1">
      <c r="D992" s="13"/>
      <c r="E992" s="8"/>
    </row>
    <row r="993" ht="12.75" customHeight="1">
      <c r="D993" s="13"/>
      <c r="E993" s="8"/>
    </row>
    <row r="994" ht="12.75" customHeight="1">
      <c r="D994" s="13"/>
      <c r="E994" s="8"/>
    </row>
    <row r="995" ht="12.75" customHeight="1">
      <c r="D995" s="13"/>
      <c r="E995" s="8"/>
    </row>
    <row r="996" ht="12.75" customHeight="1">
      <c r="D996" s="13"/>
      <c r="E996" s="8"/>
    </row>
    <row r="997" ht="12.75" customHeight="1">
      <c r="D997" s="13"/>
      <c r="E997" s="8"/>
    </row>
    <row r="998" ht="12.75" customHeight="1">
      <c r="D998" s="13"/>
      <c r="E998" s="8"/>
    </row>
    <row r="999" ht="12.75" customHeight="1">
      <c r="D999" s="13"/>
      <c r="E999" s="8"/>
    </row>
    <row r="1000" ht="12.75" customHeight="1">
      <c r="D1000" s="13"/>
      <c r="E1000" s="8"/>
    </row>
  </sheetData>
  <autoFilter ref="$A$9:$I$419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17.38"/>
    <col customWidth="1" min="3" max="3" width="19.25"/>
    <col customWidth="1" min="4" max="4" width="13.63"/>
    <col customWidth="1" min="5" max="5" width="16.38"/>
    <col customWidth="1" min="6" max="6" width="8.0"/>
    <col customWidth="1" min="7" max="7" width="10.88"/>
    <col customWidth="1" min="8" max="8" width="19.0"/>
    <col customWidth="1" min="9" max="9" width="35.13"/>
    <col customWidth="1" min="10" max="10" width="12.88"/>
    <col customWidth="1" min="11" max="11" width="10.75"/>
    <col customWidth="1" min="12" max="13" width="8.0"/>
    <col customWidth="1" min="14" max="14" width="18.13"/>
    <col customWidth="1" min="15" max="26" width="8.0"/>
  </cols>
  <sheetData>
    <row r="1" ht="12.75" customHeight="1">
      <c r="D1" s="13"/>
      <c r="E1" s="8"/>
    </row>
    <row r="2" ht="12.75" customHeight="1">
      <c r="D2" s="13"/>
      <c r="E2" s="8"/>
    </row>
    <row r="3" ht="12.75" customHeight="1">
      <c r="D3" s="13"/>
      <c r="E3" s="8"/>
    </row>
    <row r="4" ht="12.75" customHeight="1">
      <c r="D4" s="13"/>
      <c r="E4" s="8"/>
    </row>
    <row r="5" ht="12.75" customHeight="1">
      <c r="D5" s="13"/>
      <c r="E5" s="8"/>
    </row>
    <row r="6" ht="12.75" customHeight="1">
      <c r="D6" s="13"/>
      <c r="E6" s="8"/>
    </row>
    <row r="7" ht="12.75" customHeight="1">
      <c r="D7" s="13"/>
      <c r="E7" s="8"/>
    </row>
    <row r="8" ht="12.75" customHeight="1">
      <c r="A8" s="20" t="s">
        <v>1301</v>
      </c>
      <c r="B8" s="21"/>
      <c r="C8" s="21"/>
      <c r="D8" s="21"/>
      <c r="E8" s="21"/>
      <c r="G8" s="20" t="s">
        <v>1302</v>
      </c>
      <c r="H8" s="21"/>
      <c r="I8" s="21"/>
      <c r="J8" s="21"/>
      <c r="K8" s="21"/>
    </row>
    <row r="9" ht="12.75" customHeight="1">
      <c r="A9" s="14" t="s">
        <v>432</v>
      </c>
      <c r="B9" s="14" t="s">
        <v>433</v>
      </c>
      <c r="C9" s="14" t="s">
        <v>434</v>
      </c>
      <c r="D9" s="14" t="s">
        <v>425</v>
      </c>
      <c r="E9" s="15" t="s">
        <v>435</v>
      </c>
      <c r="F9" s="16"/>
      <c r="G9" s="9" t="s">
        <v>12</v>
      </c>
      <c r="H9" s="9" t="s">
        <v>13</v>
      </c>
      <c r="I9" s="9" t="s">
        <v>0</v>
      </c>
      <c r="J9" s="9" t="s">
        <v>16</v>
      </c>
      <c r="K9" s="10" t="s">
        <v>17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2.75" customHeight="1">
      <c r="A10" s="9" t="s">
        <v>436</v>
      </c>
      <c r="B10" s="9" t="s">
        <v>437</v>
      </c>
      <c r="C10" s="9" t="s">
        <v>438</v>
      </c>
      <c r="D10" s="9" t="s">
        <v>431</v>
      </c>
      <c r="E10" s="10">
        <v>5000.0</v>
      </c>
      <c r="G10" s="9">
        <v>6.6468868E7</v>
      </c>
      <c r="H10" s="9" t="s">
        <v>19</v>
      </c>
      <c r="I10" s="9" t="s">
        <v>6</v>
      </c>
      <c r="J10" s="9" t="s">
        <v>22</v>
      </c>
      <c r="K10" s="10">
        <v>100000.0</v>
      </c>
    </row>
    <row r="11" ht="12.75" customHeight="1">
      <c r="A11" s="17" t="s">
        <v>439</v>
      </c>
      <c r="B11" s="17" t="s">
        <v>440</v>
      </c>
      <c r="C11" s="17" t="s">
        <v>441</v>
      </c>
      <c r="D11" s="17" t="s">
        <v>431</v>
      </c>
      <c r="E11" s="18">
        <v>15000.0</v>
      </c>
      <c r="G11" s="9">
        <v>6.6468899E7</v>
      </c>
      <c r="H11" s="9" t="s">
        <v>24</v>
      </c>
      <c r="I11" s="9" t="s">
        <v>5</v>
      </c>
      <c r="J11" s="9" t="s">
        <v>26</v>
      </c>
      <c r="K11" s="10">
        <v>120000.0</v>
      </c>
    </row>
    <row r="12" ht="12.75" customHeight="1">
      <c r="A12" s="17" t="s">
        <v>442</v>
      </c>
      <c r="B12" s="17" t="s">
        <v>293</v>
      </c>
      <c r="C12" s="17" t="s">
        <v>443</v>
      </c>
      <c r="D12" s="17" t="s">
        <v>429</v>
      </c>
      <c r="E12" s="18">
        <v>63000.0</v>
      </c>
      <c r="G12" s="9">
        <v>6.6468904E7</v>
      </c>
      <c r="H12" s="9" t="s">
        <v>27</v>
      </c>
      <c r="I12" s="9" t="s">
        <v>5</v>
      </c>
      <c r="J12" s="9" t="s">
        <v>29</v>
      </c>
      <c r="K12" s="10">
        <v>120000.0</v>
      </c>
    </row>
    <row r="13" ht="12.75" customHeight="1">
      <c r="A13" s="9" t="s">
        <v>444</v>
      </c>
      <c r="B13" s="9" t="s">
        <v>36</v>
      </c>
      <c r="C13" s="9" t="s">
        <v>445</v>
      </c>
      <c r="D13" s="9" t="s">
        <v>429</v>
      </c>
      <c r="E13" s="10">
        <v>10240.0</v>
      </c>
      <c r="G13" s="9">
        <v>6.6475394E7</v>
      </c>
      <c r="H13" s="9" t="s">
        <v>30</v>
      </c>
      <c r="I13" s="9" t="s">
        <v>9</v>
      </c>
      <c r="J13" s="9" t="s">
        <v>32</v>
      </c>
      <c r="K13" s="10">
        <v>5000.0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9" t="s">
        <v>446</v>
      </c>
      <c r="B14" s="9" t="s">
        <v>447</v>
      </c>
      <c r="C14" s="9" t="s">
        <v>448</v>
      </c>
      <c r="D14" s="9" t="s">
        <v>431</v>
      </c>
      <c r="E14" s="10">
        <v>15000.0</v>
      </c>
      <c r="G14" s="9">
        <v>6.6475412E7</v>
      </c>
      <c r="H14" s="9" t="s">
        <v>33</v>
      </c>
      <c r="I14" s="9" t="s">
        <v>9</v>
      </c>
      <c r="J14" s="9" t="s">
        <v>32</v>
      </c>
      <c r="K14" s="10">
        <v>15000.0</v>
      </c>
    </row>
    <row r="15" ht="12.75" customHeight="1">
      <c r="A15" s="17" t="s">
        <v>449</v>
      </c>
      <c r="B15" s="17" t="s">
        <v>36</v>
      </c>
      <c r="C15" s="17" t="s">
        <v>450</v>
      </c>
      <c r="D15" s="17" t="s">
        <v>429</v>
      </c>
      <c r="E15" s="18">
        <v>10240.0</v>
      </c>
      <c r="G15" s="9">
        <v>6.6475414E7</v>
      </c>
      <c r="H15" s="9" t="s">
        <v>30</v>
      </c>
      <c r="I15" s="9" t="s">
        <v>8</v>
      </c>
      <c r="J15" s="9" t="s">
        <v>32</v>
      </c>
      <c r="K15" s="10">
        <v>63000.0</v>
      </c>
    </row>
    <row r="16" ht="12.75" customHeight="1">
      <c r="A16" s="17" t="s">
        <v>451</v>
      </c>
      <c r="B16" s="17" t="s">
        <v>452</v>
      </c>
      <c r="C16" s="17" t="s">
        <v>453</v>
      </c>
      <c r="D16" s="17" t="s">
        <v>431</v>
      </c>
      <c r="E16" s="18">
        <v>5000.0</v>
      </c>
      <c r="G16" s="9">
        <v>6.647542E7</v>
      </c>
      <c r="H16" s="9" t="s">
        <v>36</v>
      </c>
      <c r="I16" s="9" t="s">
        <v>3</v>
      </c>
      <c r="J16" s="9" t="s">
        <v>32</v>
      </c>
      <c r="K16" s="10">
        <v>10240.0</v>
      </c>
    </row>
    <row r="17" ht="12.75" customHeight="1">
      <c r="A17" s="9" t="s">
        <v>454</v>
      </c>
      <c r="B17" s="9" t="s">
        <v>73</v>
      </c>
      <c r="C17" s="9" t="s">
        <v>455</v>
      </c>
      <c r="D17" s="9" t="s">
        <v>429</v>
      </c>
      <c r="E17" s="10">
        <v>4352.0</v>
      </c>
      <c r="G17" s="9">
        <v>6.6475445E7</v>
      </c>
      <c r="H17" s="9" t="s">
        <v>38</v>
      </c>
      <c r="I17" s="9" t="s">
        <v>9</v>
      </c>
      <c r="J17" s="9" t="s">
        <v>32</v>
      </c>
      <c r="K17" s="10">
        <v>15000.0</v>
      </c>
    </row>
    <row r="18" ht="12.75" customHeight="1">
      <c r="A18" s="9" t="s">
        <v>456</v>
      </c>
      <c r="B18" s="9" t="s">
        <v>457</v>
      </c>
      <c r="C18" s="9" t="s">
        <v>458</v>
      </c>
      <c r="D18" s="9" t="s">
        <v>431</v>
      </c>
      <c r="E18" s="10">
        <v>5000.0</v>
      </c>
      <c r="G18" s="9">
        <v>6.6475447E7</v>
      </c>
      <c r="H18" s="9" t="s">
        <v>36</v>
      </c>
      <c r="I18" s="9" t="s">
        <v>3</v>
      </c>
      <c r="J18" s="9" t="s">
        <v>32</v>
      </c>
      <c r="K18" s="10">
        <v>10240.0</v>
      </c>
    </row>
    <row r="19" ht="12.75" customHeight="1">
      <c r="A19" s="17" t="s">
        <v>459</v>
      </c>
      <c r="B19" s="17" t="s">
        <v>73</v>
      </c>
      <c r="C19" s="17" t="s">
        <v>460</v>
      </c>
      <c r="D19" s="17" t="s">
        <v>429</v>
      </c>
      <c r="E19" s="18">
        <v>4080.0</v>
      </c>
      <c r="G19" s="9">
        <v>6.6476505E7</v>
      </c>
      <c r="H19" s="9" t="s">
        <v>41</v>
      </c>
      <c r="I19" s="9" t="s">
        <v>9</v>
      </c>
      <c r="J19" s="9" t="s">
        <v>43</v>
      </c>
      <c r="K19" s="10">
        <v>5000.0</v>
      </c>
    </row>
    <row r="20" ht="12.75" customHeight="1">
      <c r="A20" s="17" t="s">
        <v>461</v>
      </c>
      <c r="B20" s="17" t="s">
        <v>462</v>
      </c>
      <c r="C20" s="17" t="s">
        <v>463</v>
      </c>
      <c r="D20" s="17" t="s">
        <v>431</v>
      </c>
      <c r="E20" s="18">
        <v>65000.0</v>
      </c>
      <c r="G20" s="9">
        <v>6.6476517E7</v>
      </c>
      <c r="H20" s="9" t="s">
        <v>41</v>
      </c>
      <c r="I20" s="9" t="s">
        <v>3</v>
      </c>
      <c r="J20" s="9" t="s">
        <v>43</v>
      </c>
      <c r="K20" s="10">
        <v>4352.0</v>
      </c>
    </row>
    <row r="21" ht="12.75" customHeight="1">
      <c r="A21" s="9" t="s">
        <v>464</v>
      </c>
      <c r="B21" s="9" t="s">
        <v>465</v>
      </c>
      <c r="C21" s="9" t="s">
        <v>466</v>
      </c>
      <c r="D21" s="9" t="s">
        <v>429</v>
      </c>
      <c r="E21" s="10">
        <v>81600.0</v>
      </c>
      <c r="G21" s="9">
        <v>6.6476531E7</v>
      </c>
      <c r="H21" s="9" t="s">
        <v>45</v>
      </c>
      <c r="I21" s="9" t="s">
        <v>9</v>
      </c>
      <c r="J21" s="9" t="s">
        <v>43</v>
      </c>
      <c r="K21" s="10">
        <v>5000.0</v>
      </c>
    </row>
    <row r="22" ht="12.75" customHeight="1">
      <c r="A22" s="9" t="s">
        <v>467</v>
      </c>
      <c r="B22" s="9" t="s">
        <v>468</v>
      </c>
      <c r="C22" s="9" t="s">
        <v>469</v>
      </c>
      <c r="D22" s="9" t="s">
        <v>431</v>
      </c>
      <c r="E22" s="10">
        <v>5000.0</v>
      </c>
      <c r="G22" s="9">
        <v>6.6476543E7</v>
      </c>
      <c r="H22" s="9" t="s">
        <v>45</v>
      </c>
      <c r="I22" s="9" t="s">
        <v>3</v>
      </c>
      <c r="J22" s="9" t="s">
        <v>43</v>
      </c>
      <c r="K22" s="10">
        <v>4080.0</v>
      </c>
    </row>
    <row r="23" ht="12.75" customHeight="1">
      <c r="A23" s="17" t="s">
        <v>470</v>
      </c>
      <c r="B23" s="17" t="s">
        <v>471</v>
      </c>
      <c r="C23" s="17" t="s">
        <v>472</v>
      </c>
      <c r="D23" s="17" t="s">
        <v>429</v>
      </c>
      <c r="E23" s="18">
        <v>73950.0</v>
      </c>
      <c r="G23" s="9">
        <v>6.6476927E7</v>
      </c>
      <c r="H23" s="9" t="s">
        <v>48</v>
      </c>
      <c r="I23" s="9" t="s">
        <v>9</v>
      </c>
      <c r="J23" s="9" t="s">
        <v>43</v>
      </c>
      <c r="K23" s="10">
        <v>65000.0</v>
      </c>
    </row>
    <row r="24" ht="12.75" customHeight="1">
      <c r="A24" s="17" t="s">
        <v>473</v>
      </c>
      <c r="B24" s="17" t="s">
        <v>474</v>
      </c>
      <c r="C24" s="17" t="s">
        <v>475</v>
      </c>
      <c r="D24" s="17" t="s">
        <v>431</v>
      </c>
      <c r="E24" s="18">
        <v>5000.0</v>
      </c>
      <c r="G24" s="9">
        <v>6.647694E7</v>
      </c>
      <c r="H24" s="9" t="s">
        <v>48</v>
      </c>
      <c r="I24" s="9" t="s">
        <v>7</v>
      </c>
      <c r="J24" s="9" t="s">
        <v>43</v>
      </c>
      <c r="K24" s="10">
        <v>81600.0</v>
      </c>
    </row>
    <row r="25" ht="12.75" customHeight="1">
      <c r="A25" s="9" t="s">
        <v>476</v>
      </c>
      <c r="B25" s="9" t="s">
        <v>477</v>
      </c>
      <c r="C25" s="9" t="s">
        <v>478</v>
      </c>
      <c r="D25" s="9" t="s">
        <v>431</v>
      </c>
      <c r="E25" s="10">
        <v>5000.0</v>
      </c>
      <c r="G25" s="9">
        <v>6.6476945E7</v>
      </c>
      <c r="H25" s="9" t="s">
        <v>51</v>
      </c>
      <c r="I25" s="9" t="s">
        <v>9</v>
      </c>
      <c r="J25" s="9" t="s">
        <v>43</v>
      </c>
      <c r="K25" s="10">
        <v>5000.0</v>
      </c>
    </row>
    <row r="26" ht="12.75" customHeight="1">
      <c r="A26" s="9" t="s">
        <v>479</v>
      </c>
      <c r="B26" s="9" t="s">
        <v>480</v>
      </c>
      <c r="C26" s="9" t="s">
        <v>481</v>
      </c>
      <c r="D26" s="9" t="s">
        <v>429</v>
      </c>
      <c r="E26" s="10">
        <v>4000.0</v>
      </c>
      <c r="G26" s="9">
        <v>6.6476969E7</v>
      </c>
      <c r="H26" s="9" t="s">
        <v>53</v>
      </c>
      <c r="I26" s="9" t="s">
        <v>7</v>
      </c>
      <c r="J26" s="9" t="s">
        <v>43</v>
      </c>
      <c r="K26" s="10">
        <v>73950.0</v>
      </c>
    </row>
    <row r="27" ht="12.75" customHeight="1">
      <c r="A27" s="17" t="s">
        <v>482</v>
      </c>
      <c r="B27" s="17" t="s">
        <v>471</v>
      </c>
      <c r="C27" s="17" t="s">
        <v>483</v>
      </c>
      <c r="D27" s="17" t="s">
        <v>429</v>
      </c>
      <c r="E27" s="18">
        <v>12655.0</v>
      </c>
      <c r="G27" s="9">
        <v>6.6478073E7</v>
      </c>
      <c r="H27" s="9" t="s">
        <v>55</v>
      </c>
      <c r="I27" s="9" t="s">
        <v>9</v>
      </c>
      <c r="J27" s="9" t="s">
        <v>57</v>
      </c>
      <c r="K27" s="10">
        <v>5000.0</v>
      </c>
    </row>
    <row r="28" ht="12.75" customHeight="1">
      <c r="A28" s="17" t="s">
        <v>484</v>
      </c>
      <c r="B28" s="17" t="s">
        <v>485</v>
      </c>
      <c r="C28" s="17" t="s">
        <v>486</v>
      </c>
      <c r="D28" s="17" t="s">
        <v>431</v>
      </c>
      <c r="E28" s="18">
        <v>5000.0</v>
      </c>
      <c r="G28" s="9">
        <v>6.6478109E7</v>
      </c>
      <c r="H28" s="9" t="s">
        <v>55</v>
      </c>
      <c r="I28" s="9" t="s">
        <v>3</v>
      </c>
      <c r="J28" s="9" t="s">
        <v>57</v>
      </c>
      <c r="K28" s="10">
        <v>4000.0</v>
      </c>
    </row>
    <row r="29" ht="12.75" customHeight="1">
      <c r="A29" s="9" t="s">
        <v>487</v>
      </c>
      <c r="B29" s="9" t="s">
        <v>488</v>
      </c>
      <c r="C29" s="9" t="s">
        <v>489</v>
      </c>
      <c r="D29" s="9" t="s">
        <v>429</v>
      </c>
      <c r="E29" s="10">
        <v>712.0</v>
      </c>
      <c r="G29" s="9">
        <v>6.6478189E7</v>
      </c>
      <c r="H29" s="9" t="s">
        <v>59</v>
      </c>
      <c r="I29" s="9" t="s">
        <v>9</v>
      </c>
      <c r="J29" s="9" t="s">
        <v>57</v>
      </c>
      <c r="K29" s="10">
        <v>5000.0</v>
      </c>
    </row>
    <row r="30" ht="12.75" customHeight="1">
      <c r="A30" s="9" t="s">
        <v>490</v>
      </c>
      <c r="B30" s="9" t="s">
        <v>491</v>
      </c>
      <c r="C30" s="9" t="s">
        <v>492</v>
      </c>
      <c r="D30" s="9" t="s">
        <v>431</v>
      </c>
      <c r="E30" s="10">
        <v>45000.0</v>
      </c>
      <c r="G30" s="9">
        <v>6.6478214E7</v>
      </c>
      <c r="H30" s="9" t="s">
        <v>59</v>
      </c>
      <c r="I30" s="9" t="s">
        <v>3</v>
      </c>
      <c r="J30" s="9" t="s">
        <v>57</v>
      </c>
      <c r="K30" s="10">
        <v>12656.0</v>
      </c>
    </row>
    <row r="31" ht="12.75" customHeight="1">
      <c r="A31" s="17" t="s">
        <v>493</v>
      </c>
      <c r="B31" s="17" t="s">
        <v>494</v>
      </c>
      <c r="C31" s="17" t="s">
        <v>495</v>
      </c>
      <c r="D31" s="17" t="s">
        <v>429</v>
      </c>
      <c r="E31" s="18">
        <v>56000.0</v>
      </c>
      <c r="G31" s="9">
        <v>6.6478329E7</v>
      </c>
      <c r="H31" s="9" t="s">
        <v>62</v>
      </c>
      <c r="I31" s="9" t="s">
        <v>9</v>
      </c>
      <c r="J31" s="9" t="s">
        <v>57</v>
      </c>
      <c r="K31" s="10">
        <v>5000.0</v>
      </c>
    </row>
    <row r="32" ht="12.75" customHeight="1">
      <c r="A32" s="17" t="s">
        <v>496</v>
      </c>
      <c r="B32" s="17" t="s">
        <v>68</v>
      </c>
      <c r="C32" s="17" t="s">
        <v>497</v>
      </c>
      <c r="D32" s="17" t="s">
        <v>431</v>
      </c>
      <c r="E32" s="18">
        <v>5000.0</v>
      </c>
      <c r="G32" s="9">
        <v>6.6478337E7</v>
      </c>
      <c r="H32" s="9" t="s">
        <v>62</v>
      </c>
      <c r="I32" s="9" t="s">
        <v>3</v>
      </c>
      <c r="J32" s="9" t="s">
        <v>57</v>
      </c>
      <c r="K32" s="10">
        <v>712.0</v>
      </c>
    </row>
    <row r="33" ht="12.75" customHeight="1">
      <c r="A33" s="9" t="s">
        <v>498</v>
      </c>
      <c r="B33" s="9" t="s">
        <v>474</v>
      </c>
      <c r="C33" s="9" t="s">
        <v>499</v>
      </c>
      <c r="D33" s="9" t="s">
        <v>431</v>
      </c>
      <c r="E33" s="10">
        <v>5000.0</v>
      </c>
      <c r="G33" s="9">
        <v>6.6478351E7</v>
      </c>
      <c r="H33" s="9" t="s">
        <v>65</v>
      </c>
      <c r="I33" s="9" t="s">
        <v>9</v>
      </c>
      <c r="J33" s="9" t="s">
        <v>57</v>
      </c>
      <c r="K33" s="10">
        <v>45000.0</v>
      </c>
    </row>
    <row r="34" ht="12.75" customHeight="1">
      <c r="A34" s="17" t="s">
        <v>500</v>
      </c>
      <c r="B34" s="17" t="s">
        <v>501</v>
      </c>
      <c r="C34" s="17" t="s">
        <v>502</v>
      </c>
      <c r="D34" s="17" t="s">
        <v>431</v>
      </c>
      <c r="E34" s="18">
        <v>5000.0</v>
      </c>
      <c r="G34" s="9">
        <v>6.6478367E7</v>
      </c>
      <c r="H34" s="9" t="s">
        <v>65</v>
      </c>
      <c r="I34" s="9" t="s">
        <v>7</v>
      </c>
      <c r="J34" s="9" t="s">
        <v>57</v>
      </c>
      <c r="K34" s="10">
        <v>56000.0</v>
      </c>
    </row>
    <row r="35" ht="12.75" customHeight="1">
      <c r="A35" s="17" t="s">
        <v>503</v>
      </c>
      <c r="B35" s="17" t="s">
        <v>504</v>
      </c>
      <c r="C35" s="17" t="s">
        <v>505</v>
      </c>
      <c r="D35" s="17" t="s">
        <v>431</v>
      </c>
      <c r="E35" s="18">
        <v>15000.0</v>
      </c>
      <c r="G35" s="9">
        <v>6.6478405E7</v>
      </c>
      <c r="H35" s="9" t="s">
        <v>68</v>
      </c>
      <c r="I35" s="9" t="s">
        <v>9</v>
      </c>
      <c r="J35" s="9" t="s">
        <v>57</v>
      </c>
      <c r="K35" s="10">
        <v>5000.0</v>
      </c>
    </row>
    <row r="36" ht="12.75" customHeight="1">
      <c r="A36" s="9" t="s">
        <v>506</v>
      </c>
      <c r="B36" s="9" t="s">
        <v>507</v>
      </c>
      <c r="C36" s="9" t="s">
        <v>508</v>
      </c>
      <c r="D36" s="9" t="s">
        <v>431</v>
      </c>
      <c r="E36" s="10">
        <v>15000.0</v>
      </c>
      <c r="G36" s="9">
        <v>6.6479573E7</v>
      </c>
      <c r="H36" s="9" t="s">
        <v>70</v>
      </c>
      <c r="I36" s="9" t="s">
        <v>9</v>
      </c>
      <c r="J36" s="9" t="s">
        <v>72</v>
      </c>
      <c r="K36" s="10">
        <v>15000.0</v>
      </c>
    </row>
    <row r="37" ht="12.75" customHeight="1">
      <c r="A37" s="9" t="s">
        <v>509</v>
      </c>
      <c r="B37" s="9" t="s">
        <v>471</v>
      </c>
      <c r="C37" s="9" t="s">
        <v>510</v>
      </c>
      <c r="D37" s="9" t="s">
        <v>429</v>
      </c>
      <c r="E37" s="10">
        <v>12720.0</v>
      </c>
      <c r="G37" s="9">
        <v>6.6479578E7</v>
      </c>
      <c r="H37" s="9" t="s">
        <v>73</v>
      </c>
      <c r="I37" s="9" t="s">
        <v>3</v>
      </c>
      <c r="J37" s="9" t="s">
        <v>72</v>
      </c>
      <c r="K37" s="10">
        <v>14552.0</v>
      </c>
    </row>
    <row r="38" ht="12.75" customHeight="1">
      <c r="A38" s="9" t="s">
        <v>511</v>
      </c>
      <c r="B38" s="9" t="s">
        <v>512</v>
      </c>
      <c r="C38" s="9" t="s">
        <v>513</v>
      </c>
      <c r="D38" s="9" t="s">
        <v>431</v>
      </c>
      <c r="E38" s="10">
        <v>10000.0</v>
      </c>
      <c r="G38" s="9">
        <v>6.6479584E7</v>
      </c>
      <c r="H38" s="9" t="s">
        <v>75</v>
      </c>
      <c r="I38" s="9" t="s">
        <v>9</v>
      </c>
      <c r="J38" s="9" t="s">
        <v>72</v>
      </c>
      <c r="K38" s="10">
        <v>15000.0</v>
      </c>
    </row>
    <row r="39" ht="12.75" customHeight="1">
      <c r="A39" s="17" t="s">
        <v>514</v>
      </c>
      <c r="B39" s="17" t="s">
        <v>515</v>
      </c>
      <c r="C39" s="17" t="s">
        <v>516</v>
      </c>
      <c r="D39" s="17" t="s">
        <v>429</v>
      </c>
      <c r="E39" s="18">
        <v>50740.0</v>
      </c>
      <c r="G39" s="9">
        <v>6.6479588E7</v>
      </c>
      <c r="H39" s="9" t="s">
        <v>73</v>
      </c>
      <c r="I39" s="9" t="s">
        <v>3</v>
      </c>
      <c r="J39" s="9" t="s">
        <v>72</v>
      </c>
      <c r="K39" s="10">
        <v>14552.0</v>
      </c>
    </row>
    <row r="40" ht="12.75" customHeight="1">
      <c r="A40" s="9" t="s">
        <v>517</v>
      </c>
      <c r="B40" s="9" t="s">
        <v>73</v>
      </c>
      <c r="C40" s="9" t="s">
        <v>518</v>
      </c>
      <c r="D40" s="9" t="s">
        <v>429</v>
      </c>
      <c r="E40" s="10">
        <v>14552.0</v>
      </c>
      <c r="G40" s="9">
        <v>6.6479621E7</v>
      </c>
      <c r="H40" s="9" t="s">
        <v>78</v>
      </c>
      <c r="I40" s="9" t="s">
        <v>9</v>
      </c>
      <c r="J40" s="9" t="s">
        <v>72</v>
      </c>
      <c r="K40" s="10">
        <v>5000.0</v>
      </c>
    </row>
    <row r="41" ht="12.75" customHeight="1">
      <c r="A41" s="17" t="s">
        <v>519</v>
      </c>
      <c r="B41" s="17" t="s">
        <v>73</v>
      </c>
      <c r="C41" s="17" t="s">
        <v>520</v>
      </c>
      <c r="D41" s="17" t="s">
        <v>429</v>
      </c>
      <c r="E41" s="18">
        <v>14552.0</v>
      </c>
      <c r="G41" s="9">
        <v>6.6479681E7</v>
      </c>
      <c r="H41" s="9" t="s">
        <v>78</v>
      </c>
      <c r="I41" s="9" t="s">
        <v>3</v>
      </c>
      <c r="J41" s="9" t="s">
        <v>72</v>
      </c>
      <c r="K41" s="10">
        <v>12720.0</v>
      </c>
    </row>
    <row r="42" ht="12.75" customHeight="1">
      <c r="A42" s="9" t="s">
        <v>521</v>
      </c>
      <c r="B42" s="9" t="s">
        <v>84</v>
      </c>
      <c r="C42" s="9" t="s">
        <v>522</v>
      </c>
      <c r="D42" s="9" t="s">
        <v>429</v>
      </c>
      <c r="E42" s="10">
        <v>12160.0</v>
      </c>
      <c r="G42" s="9">
        <v>6.6479713E7</v>
      </c>
      <c r="H42" s="9" t="s">
        <v>81</v>
      </c>
      <c r="I42" s="9" t="s">
        <v>9</v>
      </c>
      <c r="J42" s="9" t="s">
        <v>72</v>
      </c>
      <c r="K42" s="10">
        <v>10000.0</v>
      </c>
    </row>
    <row r="43" ht="12.75" customHeight="1">
      <c r="A43" s="17" t="s">
        <v>523</v>
      </c>
      <c r="B43" s="17" t="s">
        <v>524</v>
      </c>
      <c r="C43" s="17" t="s">
        <v>525</v>
      </c>
      <c r="D43" s="17" t="s">
        <v>431</v>
      </c>
      <c r="E43" s="18">
        <v>25000.0</v>
      </c>
      <c r="G43" s="9">
        <v>6.6479737E7</v>
      </c>
      <c r="H43" s="9" t="s">
        <v>81</v>
      </c>
      <c r="I43" s="9" t="s">
        <v>7</v>
      </c>
      <c r="J43" s="9" t="s">
        <v>72</v>
      </c>
      <c r="K43" s="10">
        <v>50740.0</v>
      </c>
    </row>
    <row r="44" ht="25.5" customHeight="1">
      <c r="A44" s="9" t="s">
        <v>526</v>
      </c>
      <c r="B44" s="9" t="s">
        <v>88</v>
      </c>
      <c r="C44" s="22" t="s">
        <v>1303</v>
      </c>
      <c r="D44" s="9" t="s">
        <v>428</v>
      </c>
      <c r="E44" s="23">
        <v>238000.0</v>
      </c>
      <c r="G44" s="9">
        <v>6.6479829E7</v>
      </c>
      <c r="H44" s="9" t="s">
        <v>84</v>
      </c>
      <c r="I44" s="9" t="s">
        <v>3</v>
      </c>
      <c r="J44" s="9" t="s">
        <v>72</v>
      </c>
      <c r="K44" s="10">
        <v>12160.0</v>
      </c>
    </row>
    <row r="45" ht="12.75" customHeight="1">
      <c r="A45" s="9" t="s">
        <v>528</v>
      </c>
      <c r="B45" s="9" t="s">
        <v>529</v>
      </c>
      <c r="C45" s="9" t="s">
        <v>530</v>
      </c>
      <c r="D45" s="9" t="s">
        <v>431</v>
      </c>
      <c r="E45" s="10">
        <v>5000.0</v>
      </c>
      <c r="G45" s="9">
        <v>6.6479834E7</v>
      </c>
      <c r="H45" s="9" t="s">
        <v>86</v>
      </c>
      <c r="I45" s="9" t="s">
        <v>9</v>
      </c>
      <c r="J45" s="9" t="s">
        <v>72</v>
      </c>
      <c r="K45" s="10">
        <v>25000.0</v>
      </c>
    </row>
    <row r="46" ht="12.75" customHeight="1">
      <c r="A46" s="17" t="s">
        <v>531</v>
      </c>
      <c r="B46" s="17" t="s">
        <v>471</v>
      </c>
      <c r="C46" s="17" t="s">
        <v>532</v>
      </c>
      <c r="D46" s="17" t="s">
        <v>429</v>
      </c>
      <c r="E46" s="18">
        <v>14008.0</v>
      </c>
      <c r="G46" s="24">
        <v>6.6479886E7</v>
      </c>
      <c r="H46" s="9" t="s">
        <v>88</v>
      </c>
      <c r="I46" s="9" t="s">
        <v>2</v>
      </c>
      <c r="J46" s="9" t="s">
        <v>72</v>
      </c>
      <c r="K46" s="23">
        <v>28000.0</v>
      </c>
    </row>
    <row r="47" ht="12.75" customHeight="1">
      <c r="A47" s="9" t="s">
        <v>533</v>
      </c>
      <c r="B47" s="9" t="s">
        <v>534</v>
      </c>
      <c r="C47" s="9" t="s">
        <v>535</v>
      </c>
      <c r="D47" s="9" t="s">
        <v>429</v>
      </c>
      <c r="E47" s="10">
        <v>50000.0</v>
      </c>
      <c r="G47" s="24">
        <v>6.6479888E7</v>
      </c>
      <c r="H47" s="9" t="s">
        <v>88</v>
      </c>
      <c r="I47" s="9" t="s">
        <v>10</v>
      </c>
      <c r="J47" s="9" t="s">
        <v>72</v>
      </c>
      <c r="K47" s="23">
        <v>210000.0</v>
      </c>
    </row>
    <row r="48" ht="12.75" customHeight="1">
      <c r="A48" s="9" t="s">
        <v>533</v>
      </c>
      <c r="B48" s="9" t="s">
        <v>275</v>
      </c>
      <c r="C48" s="9" t="s">
        <v>536</v>
      </c>
      <c r="D48" s="9" t="s">
        <v>429</v>
      </c>
      <c r="E48" s="10">
        <v>42000.0</v>
      </c>
      <c r="G48" s="9">
        <v>6.6480668E7</v>
      </c>
      <c r="H48" s="9" t="s">
        <v>91</v>
      </c>
      <c r="I48" s="9" t="s">
        <v>9</v>
      </c>
      <c r="J48" s="9" t="s">
        <v>93</v>
      </c>
      <c r="K48" s="10">
        <v>5000.0</v>
      </c>
    </row>
    <row r="49" ht="12.75" customHeight="1">
      <c r="A49" s="9" t="s">
        <v>533</v>
      </c>
      <c r="B49" s="9" t="s">
        <v>537</v>
      </c>
      <c r="C49" s="9" t="s">
        <v>538</v>
      </c>
      <c r="D49" s="9" t="s">
        <v>429</v>
      </c>
      <c r="E49" s="10">
        <v>316.0</v>
      </c>
      <c r="G49" s="9">
        <v>6.648068E7</v>
      </c>
      <c r="H49" s="9" t="s">
        <v>91</v>
      </c>
      <c r="I49" s="9" t="s">
        <v>3</v>
      </c>
      <c r="J49" s="9" t="s">
        <v>93</v>
      </c>
      <c r="K49" s="10">
        <v>14008.0</v>
      </c>
    </row>
    <row r="50" ht="12.75" customHeight="1">
      <c r="A50" s="17" t="s">
        <v>533</v>
      </c>
      <c r="B50" s="17" t="s">
        <v>36</v>
      </c>
      <c r="C50" s="17" t="s">
        <v>539</v>
      </c>
      <c r="D50" s="17" t="s">
        <v>429</v>
      </c>
      <c r="E50" s="18">
        <v>10240.0</v>
      </c>
      <c r="G50" s="25">
        <v>6.6481054E7</v>
      </c>
      <c r="H50" s="25" t="s">
        <v>95</v>
      </c>
      <c r="I50" s="25" t="s">
        <v>2</v>
      </c>
      <c r="J50" s="25" t="s">
        <v>93</v>
      </c>
      <c r="K50" s="26">
        <v>168000.0</v>
      </c>
    </row>
    <row r="51" ht="12.75" customHeight="1">
      <c r="A51" s="9" t="s">
        <v>533</v>
      </c>
      <c r="B51" s="9" t="s">
        <v>97</v>
      </c>
      <c r="C51" s="9" t="s">
        <v>540</v>
      </c>
      <c r="D51" s="9" t="s">
        <v>429</v>
      </c>
      <c r="E51" s="10">
        <v>40800.0</v>
      </c>
      <c r="G51" s="9">
        <v>6.6482343E7</v>
      </c>
      <c r="H51" s="9" t="s">
        <v>97</v>
      </c>
      <c r="I51" s="9" t="s">
        <v>9</v>
      </c>
      <c r="J51" s="9" t="s">
        <v>99</v>
      </c>
      <c r="K51" s="10">
        <v>15000.0</v>
      </c>
    </row>
    <row r="52" ht="12.75" customHeight="1">
      <c r="A52" s="17" t="s">
        <v>533</v>
      </c>
      <c r="B52" s="17" t="s">
        <v>541</v>
      </c>
      <c r="C52" s="17" t="s">
        <v>542</v>
      </c>
      <c r="D52" s="17" t="s">
        <v>429</v>
      </c>
      <c r="E52" s="18">
        <v>21498.0</v>
      </c>
      <c r="G52" s="9">
        <v>6.6482345E7</v>
      </c>
      <c r="H52" s="9" t="s">
        <v>97</v>
      </c>
      <c r="I52" s="9" t="s">
        <v>7</v>
      </c>
      <c r="J52" s="9" t="s">
        <v>99</v>
      </c>
      <c r="K52" s="10">
        <v>40800.0</v>
      </c>
    </row>
    <row r="53" ht="12.75" customHeight="1">
      <c r="A53" s="9" t="s">
        <v>543</v>
      </c>
      <c r="B53" s="9" t="s">
        <v>544</v>
      </c>
      <c r="C53" s="9" t="s">
        <v>545</v>
      </c>
      <c r="D53" s="9" t="s">
        <v>431</v>
      </c>
      <c r="E53" s="10">
        <v>15000.0</v>
      </c>
      <c r="G53" s="9">
        <v>6.6482347E7</v>
      </c>
      <c r="H53" s="9" t="s">
        <v>101</v>
      </c>
      <c r="I53" s="9" t="s">
        <v>9</v>
      </c>
      <c r="J53" s="9" t="s">
        <v>99</v>
      </c>
      <c r="K53" s="10">
        <v>15000.0</v>
      </c>
    </row>
    <row r="54" ht="12.75" customHeight="1">
      <c r="A54" s="17" t="s">
        <v>546</v>
      </c>
      <c r="B54" s="17" t="s">
        <v>547</v>
      </c>
      <c r="C54" s="17" t="s">
        <v>548</v>
      </c>
      <c r="D54" s="17" t="s">
        <v>429</v>
      </c>
      <c r="E54" s="18">
        <v>2000.0</v>
      </c>
      <c r="G54" s="9">
        <v>6.6482349E7</v>
      </c>
      <c r="H54" s="9" t="s">
        <v>36</v>
      </c>
      <c r="I54" s="9" t="s">
        <v>3</v>
      </c>
      <c r="J54" s="9" t="s">
        <v>99</v>
      </c>
      <c r="K54" s="10">
        <v>10240.0</v>
      </c>
    </row>
    <row r="55" ht="12.75" customHeight="1">
      <c r="A55" s="17" t="s">
        <v>546</v>
      </c>
      <c r="B55" s="17" t="s">
        <v>549</v>
      </c>
      <c r="C55" s="17" t="s">
        <v>550</v>
      </c>
      <c r="D55" s="17" t="s">
        <v>429</v>
      </c>
      <c r="E55" s="18">
        <v>1200.0</v>
      </c>
      <c r="G55" s="9">
        <v>6.648237E7</v>
      </c>
      <c r="H55" s="9" t="s">
        <v>104</v>
      </c>
      <c r="I55" s="9" t="s">
        <v>9</v>
      </c>
      <c r="J55" s="9" t="s">
        <v>99</v>
      </c>
      <c r="K55" s="10">
        <v>15000.0</v>
      </c>
    </row>
    <row r="56" ht="12.75" customHeight="1">
      <c r="A56" s="17" t="s">
        <v>546</v>
      </c>
      <c r="B56" s="17" t="s">
        <v>73</v>
      </c>
      <c r="C56" s="17" t="s">
        <v>551</v>
      </c>
      <c r="D56" s="17" t="s">
        <v>429</v>
      </c>
      <c r="E56" s="18">
        <v>12834.0</v>
      </c>
      <c r="G56" s="9">
        <v>6.6482373E7</v>
      </c>
      <c r="H56" s="9" t="s">
        <v>104</v>
      </c>
      <c r="I56" s="9" t="s">
        <v>7</v>
      </c>
      <c r="J56" s="9" t="s">
        <v>99</v>
      </c>
      <c r="K56" s="10">
        <v>21498.0</v>
      </c>
    </row>
    <row r="57" ht="12.75" customHeight="1">
      <c r="A57" s="9" t="s">
        <v>546</v>
      </c>
      <c r="B57" s="9" t="s">
        <v>73</v>
      </c>
      <c r="C57" s="9" t="s">
        <v>552</v>
      </c>
      <c r="D57" s="9" t="s">
        <v>429</v>
      </c>
      <c r="E57" s="10">
        <v>12400.0</v>
      </c>
      <c r="G57" s="9">
        <v>6.6482902E7</v>
      </c>
      <c r="H57" s="9" t="s">
        <v>107</v>
      </c>
      <c r="I57" s="9" t="s">
        <v>9</v>
      </c>
      <c r="J57" s="9" t="s">
        <v>109</v>
      </c>
      <c r="K57" s="10">
        <v>5000.0</v>
      </c>
    </row>
    <row r="58" ht="12.75" customHeight="1">
      <c r="A58" s="17" t="s">
        <v>553</v>
      </c>
      <c r="B58" s="17" t="s">
        <v>554</v>
      </c>
      <c r="C58" s="17" t="s">
        <v>555</v>
      </c>
      <c r="D58" s="17" t="s">
        <v>431</v>
      </c>
      <c r="E58" s="18">
        <v>5000.0</v>
      </c>
      <c r="G58" s="9">
        <v>6.6482905E7</v>
      </c>
      <c r="H58" s="9" t="s">
        <v>107</v>
      </c>
      <c r="I58" s="9" t="s">
        <v>3</v>
      </c>
      <c r="J58" s="9" t="s">
        <v>109</v>
      </c>
      <c r="K58" s="10">
        <v>3200.0</v>
      </c>
    </row>
    <row r="59" ht="12.75" customHeight="1">
      <c r="A59" s="9" t="s">
        <v>556</v>
      </c>
      <c r="B59" s="9" t="s">
        <v>557</v>
      </c>
      <c r="C59" s="9" t="s">
        <v>558</v>
      </c>
      <c r="D59" s="9" t="s">
        <v>431</v>
      </c>
      <c r="E59" s="10">
        <v>5000.0</v>
      </c>
      <c r="G59" s="9">
        <v>6.6482948E7</v>
      </c>
      <c r="H59" s="9" t="s">
        <v>111</v>
      </c>
      <c r="I59" s="9" t="s">
        <v>10</v>
      </c>
      <c r="J59" s="9" t="s">
        <v>109</v>
      </c>
      <c r="K59" s="10">
        <v>210000.0</v>
      </c>
    </row>
    <row r="60" ht="12.75" customHeight="1">
      <c r="A60" s="17" t="s">
        <v>559</v>
      </c>
      <c r="B60" s="17" t="s">
        <v>560</v>
      </c>
      <c r="C60" s="17" t="s">
        <v>561</v>
      </c>
      <c r="D60" s="17" t="s">
        <v>431</v>
      </c>
      <c r="E60" s="18">
        <v>5000.0</v>
      </c>
      <c r="G60" s="9">
        <v>6.6482966E7</v>
      </c>
      <c r="H60" s="9" t="s">
        <v>113</v>
      </c>
      <c r="I60" s="9" t="s">
        <v>9</v>
      </c>
      <c r="J60" s="9" t="s">
        <v>109</v>
      </c>
      <c r="K60" s="10">
        <v>5000.0</v>
      </c>
    </row>
    <row r="61" ht="12.75" customHeight="1">
      <c r="A61" s="9" t="s">
        <v>562</v>
      </c>
      <c r="B61" s="9" t="s">
        <v>563</v>
      </c>
      <c r="C61" s="9" t="s">
        <v>564</v>
      </c>
      <c r="D61" s="9" t="s">
        <v>429</v>
      </c>
      <c r="E61" s="10">
        <v>3328.0</v>
      </c>
      <c r="G61" s="9">
        <v>6.6482967E7</v>
      </c>
      <c r="H61" s="9" t="s">
        <v>113</v>
      </c>
      <c r="I61" s="9" t="s">
        <v>3</v>
      </c>
      <c r="J61" s="9" t="s">
        <v>109</v>
      </c>
      <c r="K61" s="10">
        <v>12400.0</v>
      </c>
    </row>
    <row r="62" ht="12.75" customHeight="1">
      <c r="A62" s="17" t="s">
        <v>562</v>
      </c>
      <c r="B62" s="17" t="s">
        <v>565</v>
      </c>
      <c r="C62" s="17" t="s">
        <v>566</v>
      </c>
      <c r="D62" s="17" t="s">
        <v>429</v>
      </c>
      <c r="E62" s="18">
        <v>2000.0</v>
      </c>
      <c r="G62" s="9">
        <v>6.6482968E7</v>
      </c>
      <c r="H62" s="9" t="s">
        <v>116</v>
      </c>
      <c r="I62" s="9" t="s">
        <v>9</v>
      </c>
      <c r="J62" s="9" t="s">
        <v>109</v>
      </c>
      <c r="K62" s="10">
        <v>5000.0</v>
      </c>
    </row>
    <row r="63" ht="12.75" customHeight="1">
      <c r="A63" s="9" t="s">
        <v>562</v>
      </c>
      <c r="B63" s="9" t="s">
        <v>567</v>
      </c>
      <c r="C63" s="9" t="s">
        <v>568</v>
      </c>
      <c r="D63" s="9" t="s">
        <v>429</v>
      </c>
      <c r="E63" s="10">
        <v>1600.0</v>
      </c>
      <c r="G63" s="9">
        <v>6.648297E7</v>
      </c>
      <c r="H63" s="9" t="s">
        <v>116</v>
      </c>
      <c r="I63" s="9" t="s">
        <v>3</v>
      </c>
      <c r="J63" s="9" t="s">
        <v>109</v>
      </c>
      <c r="K63" s="10">
        <v>12834.0</v>
      </c>
    </row>
    <row r="64" ht="12.75" customHeight="1">
      <c r="A64" s="9" t="s">
        <v>562</v>
      </c>
      <c r="B64" s="9" t="s">
        <v>569</v>
      </c>
      <c r="C64" s="9" t="s">
        <v>570</v>
      </c>
      <c r="D64" s="9" t="s">
        <v>429</v>
      </c>
      <c r="E64" s="10">
        <v>1400.0</v>
      </c>
      <c r="G64" s="24">
        <v>6.6482983E7</v>
      </c>
      <c r="H64" s="9" t="s">
        <v>119</v>
      </c>
      <c r="I64" s="9" t="s">
        <v>10</v>
      </c>
      <c r="J64" s="9" t="s">
        <v>109</v>
      </c>
      <c r="K64" s="27">
        <v>210000.0</v>
      </c>
    </row>
    <row r="65" ht="12.75" customHeight="1">
      <c r="A65" s="9" t="s">
        <v>562</v>
      </c>
      <c r="B65" s="9" t="s">
        <v>571</v>
      </c>
      <c r="C65" s="9" t="s">
        <v>572</v>
      </c>
      <c r="D65" s="9" t="s">
        <v>429</v>
      </c>
      <c r="E65" s="10">
        <v>2764.0</v>
      </c>
      <c r="G65" s="24">
        <v>6.6482985E7</v>
      </c>
      <c r="H65" s="9" t="s">
        <v>119</v>
      </c>
      <c r="I65" s="9" t="s">
        <v>2</v>
      </c>
      <c r="J65" s="9" t="s">
        <v>109</v>
      </c>
      <c r="K65" s="27">
        <v>56000.0</v>
      </c>
    </row>
    <row r="66" ht="12.75" customHeight="1">
      <c r="A66" s="17" t="s">
        <v>562</v>
      </c>
      <c r="B66" s="17" t="s">
        <v>573</v>
      </c>
      <c r="C66" s="17" t="s">
        <v>574</v>
      </c>
      <c r="D66" s="17" t="s">
        <v>429</v>
      </c>
      <c r="E66" s="18">
        <v>4000.0</v>
      </c>
      <c r="G66" s="9">
        <v>6.6483607E7</v>
      </c>
      <c r="H66" s="9" t="s">
        <v>122</v>
      </c>
      <c r="I66" s="9" t="s">
        <v>9</v>
      </c>
      <c r="J66" s="9" t="s">
        <v>124</v>
      </c>
      <c r="K66" s="10">
        <v>10000.0</v>
      </c>
    </row>
    <row r="67" ht="12.75" customHeight="1">
      <c r="A67" s="9" t="s">
        <v>575</v>
      </c>
      <c r="B67" s="9" t="s">
        <v>576</v>
      </c>
      <c r="C67" s="9" t="s">
        <v>577</v>
      </c>
      <c r="D67" s="9" t="s">
        <v>431</v>
      </c>
      <c r="E67" s="10">
        <v>10000.0</v>
      </c>
      <c r="G67" s="9">
        <v>6.648362E7</v>
      </c>
      <c r="H67" s="9" t="s">
        <v>125</v>
      </c>
      <c r="I67" s="9" t="s">
        <v>9</v>
      </c>
      <c r="J67" s="9" t="s">
        <v>124</v>
      </c>
      <c r="K67" s="10">
        <v>5000.0</v>
      </c>
    </row>
    <row r="68" ht="12.75" customHeight="1">
      <c r="A68" s="17" t="s">
        <v>575</v>
      </c>
      <c r="B68" s="17" t="s">
        <v>578</v>
      </c>
      <c r="C68" s="17" t="s">
        <v>579</v>
      </c>
      <c r="D68" s="17" t="s">
        <v>431</v>
      </c>
      <c r="E68" s="18">
        <v>5000.0</v>
      </c>
      <c r="G68" s="9">
        <v>6.6483624E7</v>
      </c>
      <c r="H68" s="9" t="s">
        <v>125</v>
      </c>
      <c r="I68" s="9" t="s">
        <v>3</v>
      </c>
      <c r="J68" s="9" t="s">
        <v>124</v>
      </c>
      <c r="K68" s="10">
        <v>3328.0</v>
      </c>
    </row>
    <row r="69" ht="12.75" customHeight="1">
      <c r="A69" s="9" t="s">
        <v>580</v>
      </c>
      <c r="B69" s="9" t="s">
        <v>581</v>
      </c>
      <c r="C69" s="9" t="s">
        <v>582</v>
      </c>
      <c r="D69" s="9" t="s">
        <v>431</v>
      </c>
      <c r="E69" s="10">
        <v>5000.0</v>
      </c>
      <c r="G69" s="9">
        <v>6.6483749E7</v>
      </c>
      <c r="H69" s="9" t="s">
        <v>128</v>
      </c>
      <c r="I69" s="9" t="s">
        <v>9</v>
      </c>
      <c r="J69" s="9" t="s">
        <v>124</v>
      </c>
      <c r="K69" s="10">
        <v>5000.0</v>
      </c>
    </row>
    <row r="70" ht="12.75" customHeight="1">
      <c r="A70" s="9" t="s">
        <v>583</v>
      </c>
      <c r="B70" s="9" t="s">
        <v>578</v>
      </c>
      <c r="C70" s="9" t="s">
        <v>584</v>
      </c>
      <c r="D70" s="9" t="s">
        <v>431</v>
      </c>
      <c r="E70" s="10">
        <v>5000.0</v>
      </c>
      <c r="G70" s="9">
        <v>6.6484097E7</v>
      </c>
      <c r="H70" s="9" t="s">
        <v>130</v>
      </c>
      <c r="I70" s="9" t="s">
        <v>9</v>
      </c>
      <c r="J70" s="9" t="s">
        <v>124</v>
      </c>
      <c r="K70" s="10">
        <v>5000.0</v>
      </c>
    </row>
    <row r="71" ht="12.75" customHeight="1">
      <c r="A71" s="17" t="s">
        <v>585</v>
      </c>
      <c r="B71" s="17" t="s">
        <v>404</v>
      </c>
      <c r="C71" s="17" t="s">
        <v>586</v>
      </c>
      <c r="D71" s="17" t="s">
        <v>431</v>
      </c>
      <c r="E71" s="18">
        <v>5000.0</v>
      </c>
      <c r="G71" s="9">
        <v>6.6484102E7</v>
      </c>
      <c r="H71" s="9" t="s">
        <v>132</v>
      </c>
      <c r="I71" s="9" t="s">
        <v>3</v>
      </c>
      <c r="J71" s="9" t="s">
        <v>124</v>
      </c>
      <c r="K71" s="10">
        <v>4000.0</v>
      </c>
    </row>
    <row r="72" ht="12.75" customHeight="1">
      <c r="A72" s="17" t="s">
        <v>587</v>
      </c>
      <c r="B72" s="17" t="s">
        <v>275</v>
      </c>
      <c r="C72" s="17" t="s">
        <v>588</v>
      </c>
      <c r="D72" s="17" t="s">
        <v>429</v>
      </c>
      <c r="E72" s="18">
        <v>2000.0</v>
      </c>
      <c r="G72" s="9">
        <v>6.6484343E7</v>
      </c>
      <c r="H72" s="9" t="s">
        <v>125</v>
      </c>
      <c r="I72" s="9" t="s">
        <v>9</v>
      </c>
      <c r="J72" s="9" t="s">
        <v>124</v>
      </c>
      <c r="K72" s="10">
        <v>5000.0</v>
      </c>
    </row>
    <row r="73" ht="12.75" customHeight="1">
      <c r="A73" s="9" t="s">
        <v>587</v>
      </c>
      <c r="B73" s="9" t="s">
        <v>589</v>
      </c>
      <c r="C73" s="9" t="s">
        <v>590</v>
      </c>
      <c r="D73" s="9" t="s">
        <v>429</v>
      </c>
      <c r="E73" s="10">
        <v>54000.0</v>
      </c>
      <c r="G73" s="9">
        <v>6.6484351E7</v>
      </c>
      <c r="H73" s="9" t="s">
        <v>125</v>
      </c>
      <c r="I73" s="9" t="s">
        <v>3</v>
      </c>
      <c r="J73" s="9" t="s">
        <v>124</v>
      </c>
      <c r="K73" s="10">
        <v>2765.0</v>
      </c>
    </row>
    <row r="74" ht="12.75" customHeight="1">
      <c r="A74" s="17" t="s">
        <v>591</v>
      </c>
      <c r="B74" s="17" t="s">
        <v>592</v>
      </c>
      <c r="C74" s="17" t="s">
        <v>593</v>
      </c>
      <c r="D74" s="17" t="s">
        <v>431</v>
      </c>
      <c r="E74" s="18">
        <v>5000.0</v>
      </c>
      <c r="G74" s="9">
        <v>6.6485475E7</v>
      </c>
      <c r="H74" s="9" t="s">
        <v>136</v>
      </c>
      <c r="I74" s="9" t="s">
        <v>9</v>
      </c>
      <c r="J74" s="9" t="s">
        <v>26</v>
      </c>
      <c r="K74" s="10">
        <v>5000.0</v>
      </c>
    </row>
    <row r="75" ht="12.75" customHeight="1">
      <c r="A75" s="17" t="s">
        <v>594</v>
      </c>
      <c r="B75" s="17" t="s">
        <v>397</v>
      </c>
      <c r="C75" s="17" t="s">
        <v>595</v>
      </c>
      <c r="D75" s="17" t="s">
        <v>429</v>
      </c>
      <c r="E75" s="18">
        <v>13200.0</v>
      </c>
      <c r="G75" s="9">
        <v>6.6485485E7</v>
      </c>
      <c r="H75" s="9" t="s">
        <v>136</v>
      </c>
      <c r="I75" s="9" t="s">
        <v>8</v>
      </c>
      <c r="J75" s="9" t="s">
        <v>26</v>
      </c>
      <c r="K75" s="10">
        <v>54000.0</v>
      </c>
    </row>
    <row r="76" ht="12.75" customHeight="1">
      <c r="A76" s="9" t="s">
        <v>594</v>
      </c>
      <c r="B76" s="9" t="s">
        <v>565</v>
      </c>
      <c r="C76" s="9" t="s">
        <v>596</v>
      </c>
      <c r="D76" s="9" t="s">
        <v>429</v>
      </c>
      <c r="E76" s="10">
        <v>6000.0</v>
      </c>
      <c r="G76" s="9">
        <v>6.6485627E7</v>
      </c>
      <c r="H76" s="9" t="s">
        <v>139</v>
      </c>
      <c r="I76" s="9" t="s">
        <v>9</v>
      </c>
      <c r="J76" s="9" t="s">
        <v>26</v>
      </c>
      <c r="K76" s="10">
        <v>5000.0</v>
      </c>
    </row>
    <row r="77" ht="12.75" customHeight="1">
      <c r="A77" s="9" t="s">
        <v>594</v>
      </c>
      <c r="B77" s="9" t="s">
        <v>597</v>
      </c>
      <c r="C77" s="9" t="s">
        <v>598</v>
      </c>
      <c r="D77" s="9" t="s">
        <v>429</v>
      </c>
      <c r="E77" s="10">
        <v>1280.0</v>
      </c>
      <c r="G77" s="9">
        <v>6.6486538E7</v>
      </c>
      <c r="H77" s="9" t="s">
        <v>141</v>
      </c>
      <c r="I77" s="9" t="s">
        <v>9</v>
      </c>
      <c r="J77" s="9" t="s">
        <v>143</v>
      </c>
      <c r="K77" s="10">
        <v>5000.0</v>
      </c>
    </row>
    <row r="78" ht="12.75" customHeight="1">
      <c r="A78" s="17" t="s">
        <v>594</v>
      </c>
      <c r="B78" s="17" t="s">
        <v>599</v>
      </c>
      <c r="C78" s="17" t="s">
        <v>600</v>
      </c>
      <c r="D78" s="17" t="s">
        <v>429</v>
      </c>
      <c r="E78" s="18">
        <v>16000.0</v>
      </c>
      <c r="G78" s="9">
        <v>6.648654E7</v>
      </c>
      <c r="H78" s="9" t="s">
        <v>144</v>
      </c>
      <c r="I78" s="9" t="s">
        <v>4</v>
      </c>
      <c r="J78" s="9" t="s">
        <v>143</v>
      </c>
      <c r="K78" s="10">
        <v>1280.0</v>
      </c>
    </row>
    <row r="79" ht="12.75" customHeight="1">
      <c r="A79" s="17" t="s">
        <v>601</v>
      </c>
      <c r="B79" s="17" t="s">
        <v>602</v>
      </c>
      <c r="C79" s="17" t="s">
        <v>603</v>
      </c>
      <c r="D79" s="17" t="s">
        <v>431</v>
      </c>
      <c r="E79" s="18">
        <v>5000.0</v>
      </c>
      <c r="G79" s="9">
        <v>6.6486545E7</v>
      </c>
      <c r="H79" s="9" t="s">
        <v>146</v>
      </c>
      <c r="I79" s="9" t="s">
        <v>9</v>
      </c>
      <c r="J79" s="9" t="s">
        <v>143</v>
      </c>
      <c r="K79" s="10">
        <v>5000.0</v>
      </c>
    </row>
    <row r="80" ht="12.75" customHeight="1">
      <c r="A80" s="9" t="s">
        <v>604</v>
      </c>
      <c r="B80" s="9" t="s">
        <v>605</v>
      </c>
      <c r="C80" s="9" t="s">
        <v>606</v>
      </c>
      <c r="D80" s="9" t="s">
        <v>431</v>
      </c>
      <c r="E80" s="10">
        <v>5000.0</v>
      </c>
      <c r="G80" s="9">
        <v>6.6486808E7</v>
      </c>
      <c r="H80" s="9" t="s">
        <v>148</v>
      </c>
      <c r="I80" s="9" t="s">
        <v>4</v>
      </c>
      <c r="J80" s="9" t="s">
        <v>143</v>
      </c>
      <c r="K80" s="10">
        <v>16000.0</v>
      </c>
    </row>
    <row r="81" ht="12.75" customHeight="1">
      <c r="A81" s="9" t="s">
        <v>607</v>
      </c>
      <c r="B81" s="9" t="s">
        <v>608</v>
      </c>
      <c r="C81" s="9" t="s">
        <v>609</v>
      </c>
      <c r="D81" s="9" t="s">
        <v>431</v>
      </c>
      <c r="E81" s="10">
        <v>15000.0</v>
      </c>
      <c r="G81" s="9">
        <v>6.6486814E7</v>
      </c>
      <c r="H81" s="9" t="s">
        <v>148</v>
      </c>
      <c r="I81" s="9" t="s">
        <v>9</v>
      </c>
      <c r="J81" s="9" t="s">
        <v>143</v>
      </c>
      <c r="K81" s="10">
        <v>15000.0</v>
      </c>
    </row>
    <row r="82" ht="12.75" customHeight="1">
      <c r="A82" s="17" t="s">
        <v>610</v>
      </c>
      <c r="B82" s="17" t="s">
        <v>471</v>
      </c>
      <c r="C82" s="17" t="s">
        <v>611</v>
      </c>
      <c r="D82" s="17" t="s">
        <v>429</v>
      </c>
      <c r="E82" s="18">
        <v>79180.0</v>
      </c>
      <c r="G82" s="9">
        <v>6.6487984E7</v>
      </c>
      <c r="H82" s="9" t="s">
        <v>151</v>
      </c>
      <c r="I82" s="9" t="s">
        <v>9</v>
      </c>
      <c r="J82" s="9" t="s">
        <v>22</v>
      </c>
      <c r="K82" s="10">
        <v>15000.0</v>
      </c>
    </row>
    <row r="83" ht="12.75" customHeight="1">
      <c r="A83" s="17" t="s">
        <v>610</v>
      </c>
      <c r="B83" s="17" t="s">
        <v>275</v>
      </c>
      <c r="C83" s="17" t="s">
        <v>612</v>
      </c>
      <c r="D83" s="17" t="s">
        <v>429</v>
      </c>
      <c r="E83" s="18">
        <v>900.0</v>
      </c>
      <c r="G83" s="9">
        <v>6.6488037E7</v>
      </c>
      <c r="H83" s="9" t="s">
        <v>73</v>
      </c>
      <c r="I83" s="9" t="s">
        <v>3</v>
      </c>
      <c r="J83" s="9" t="s">
        <v>22</v>
      </c>
      <c r="K83" s="10">
        <v>13056.0</v>
      </c>
    </row>
    <row r="84" ht="12.75" customHeight="1">
      <c r="A84" s="9" t="s">
        <v>610</v>
      </c>
      <c r="B84" s="9" t="s">
        <v>156</v>
      </c>
      <c r="C84" s="9" t="s">
        <v>613</v>
      </c>
      <c r="D84" s="9" t="s">
        <v>429</v>
      </c>
      <c r="E84" s="10">
        <v>60504.0</v>
      </c>
      <c r="G84" s="9">
        <v>6.6488066E7</v>
      </c>
      <c r="H84" s="9" t="s">
        <v>154</v>
      </c>
      <c r="I84" s="9" t="s">
        <v>9</v>
      </c>
      <c r="J84" s="9" t="s">
        <v>22</v>
      </c>
      <c r="K84" s="10">
        <v>15000.0</v>
      </c>
    </row>
    <row r="85" ht="12.75" customHeight="1">
      <c r="A85" s="9" t="s">
        <v>610</v>
      </c>
      <c r="B85" s="9" t="s">
        <v>73</v>
      </c>
      <c r="C85" s="9" t="s">
        <v>614</v>
      </c>
      <c r="D85" s="9" t="s">
        <v>429</v>
      </c>
      <c r="E85" s="10">
        <v>13056.0</v>
      </c>
      <c r="G85" s="9">
        <v>6.6488071E7</v>
      </c>
      <c r="H85" s="9" t="s">
        <v>156</v>
      </c>
      <c r="I85" s="9" t="s">
        <v>7</v>
      </c>
      <c r="J85" s="9" t="s">
        <v>22</v>
      </c>
      <c r="K85" s="10">
        <v>60504.0</v>
      </c>
    </row>
    <row r="86" ht="12.75" customHeight="1">
      <c r="A86" s="9" t="s">
        <v>615</v>
      </c>
      <c r="B86" s="9" t="s">
        <v>616</v>
      </c>
      <c r="C86" s="9" t="s">
        <v>617</v>
      </c>
      <c r="D86" s="9" t="s">
        <v>431</v>
      </c>
      <c r="E86" s="10">
        <v>15000.0</v>
      </c>
      <c r="G86" s="9">
        <v>6.6490836E7</v>
      </c>
      <c r="H86" s="9" t="s">
        <v>104</v>
      </c>
      <c r="I86" s="9" t="s">
        <v>7</v>
      </c>
      <c r="J86" s="9" t="s">
        <v>159</v>
      </c>
      <c r="K86" s="10">
        <v>32184.0</v>
      </c>
    </row>
    <row r="87" ht="12.75" customHeight="1">
      <c r="A87" s="17" t="s">
        <v>618</v>
      </c>
      <c r="B87" s="17" t="s">
        <v>619</v>
      </c>
      <c r="C87" s="17" t="s">
        <v>620</v>
      </c>
      <c r="D87" s="17" t="s">
        <v>431</v>
      </c>
      <c r="E87" s="18">
        <v>15000.0</v>
      </c>
      <c r="G87" s="9">
        <v>6.6491244E7</v>
      </c>
      <c r="H87" s="9" t="s">
        <v>160</v>
      </c>
      <c r="I87" s="9" t="s">
        <v>9</v>
      </c>
      <c r="J87" s="9" t="s">
        <v>159</v>
      </c>
      <c r="K87" s="10">
        <v>15000.0</v>
      </c>
    </row>
    <row r="88" ht="12.75" customHeight="1">
      <c r="A88" s="9" t="s">
        <v>621</v>
      </c>
      <c r="B88" s="9" t="s">
        <v>622</v>
      </c>
      <c r="C88" s="9" t="s">
        <v>623</v>
      </c>
      <c r="D88" s="9" t="s">
        <v>429</v>
      </c>
      <c r="E88" s="10">
        <v>60000.0</v>
      </c>
      <c r="G88" s="9">
        <v>6.6491247E7</v>
      </c>
      <c r="H88" s="9" t="s">
        <v>162</v>
      </c>
      <c r="I88" s="9" t="s">
        <v>7</v>
      </c>
      <c r="J88" s="9" t="s">
        <v>159</v>
      </c>
      <c r="K88" s="10">
        <v>45446.0</v>
      </c>
    </row>
    <row r="89" ht="12.75" customHeight="1">
      <c r="A89" s="9" t="s">
        <v>621</v>
      </c>
      <c r="B89" s="9" t="s">
        <v>624</v>
      </c>
      <c r="C89" s="9" t="s">
        <v>625</v>
      </c>
      <c r="D89" s="9" t="s">
        <v>429</v>
      </c>
      <c r="E89" s="10">
        <v>20000.0</v>
      </c>
      <c r="G89" s="9">
        <v>6.6491269E7</v>
      </c>
      <c r="H89" s="9" t="s">
        <v>164</v>
      </c>
      <c r="I89" s="9" t="s">
        <v>9</v>
      </c>
      <c r="J89" s="9" t="s">
        <v>159</v>
      </c>
      <c r="K89" s="10">
        <v>5000.0</v>
      </c>
    </row>
    <row r="90" ht="12.75" customHeight="1">
      <c r="A90" s="17" t="s">
        <v>621</v>
      </c>
      <c r="B90" s="17" t="s">
        <v>565</v>
      </c>
      <c r="C90" s="17" t="s">
        <v>626</v>
      </c>
      <c r="D90" s="17" t="s">
        <v>429</v>
      </c>
      <c r="E90" s="18">
        <v>5000.0</v>
      </c>
      <c r="G90" s="9">
        <v>6.6491289E7</v>
      </c>
      <c r="H90" s="9" t="s">
        <v>166</v>
      </c>
      <c r="I90" s="9" t="s">
        <v>3</v>
      </c>
      <c r="J90" s="9" t="s">
        <v>159</v>
      </c>
      <c r="K90" s="10">
        <v>9920.0</v>
      </c>
    </row>
    <row r="91" ht="12.75" customHeight="1">
      <c r="A91" s="17" t="s">
        <v>621</v>
      </c>
      <c r="B91" s="17" t="s">
        <v>627</v>
      </c>
      <c r="C91" s="17" t="s">
        <v>628</v>
      </c>
      <c r="D91" s="17" t="s">
        <v>429</v>
      </c>
      <c r="E91" s="18">
        <v>45446.0</v>
      </c>
      <c r="G91" s="9">
        <v>6.6491671E7</v>
      </c>
      <c r="H91" s="9" t="s">
        <v>168</v>
      </c>
      <c r="I91" s="9" t="s">
        <v>9</v>
      </c>
      <c r="J91" s="9" t="s">
        <v>170</v>
      </c>
      <c r="K91" s="10">
        <v>10000.0</v>
      </c>
    </row>
    <row r="92" ht="12.75" customHeight="1">
      <c r="A92" s="17" t="s">
        <v>621</v>
      </c>
      <c r="B92" s="17" t="s">
        <v>104</v>
      </c>
      <c r="C92" s="17" t="s">
        <v>629</v>
      </c>
      <c r="D92" s="17" t="s">
        <v>429</v>
      </c>
      <c r="E92" s="18">
        <v>32184.0</v>
      </c>
      <c r="G92" s="9">
        <v>6.6491701E7</v>
      </c>
      <c r="H92" s="9" t="s">
        <v>171</v>
      </c>
      <c r="I92" s="9" t="s">
        <v>9</v>
      </c>
      <c r="J92" s="9" t="s">
        <v>170</v>
      </c>
      <c r="K92" s="10">
        <v>5000.0</v>
      </c>
    </row>
    <row r="93" ht="12.75" customHeight="1">
      <c r="A93" s="9" t="s">
        <v>621</v>
      </c>
      <c r="B93" s="9" t="s">
        <v>630</v>
      </c>
      <c r="C93" s="9" t="s">
        <v>631</v>
      </c>
      <c r="D93" s="9" t="s">
        <v>429</v>
      </c>
      <c r="E93" s="10">
        <v>9920.0</v>
      </c>
      <c r="G93" s="9">
        <v>6.6491712E7</v>
      </c>
      <c r="H93" s="9" t="s">
        <v>173</v>
      </c>
      <c r="I93" s="9" t="s">
        <v>3</v>
      </c>
      <c r="J93" s="9" t="s">
        <v>170</v>
      </c>
      <c r="K93" s="10">
        <v>3200.0</v>
      </c>
    </row>
    <row r="94" ht="12.75" customHeight="1">
      <c r="A94" s="17" t="s">
        <v>632</v>
      </c>
      <c r="B94" s="17" t="s">
        <v>633</v>
      </c>
      <c r="C94" s="17" t="s">
        <v>634</v>
      </c>
      <c r="D94" s="17" t="s">
        <v>431</v>
      </c>
      <c r="E94" s="18">
        <v>15000.0</v>
      </c>
      <c r="G94" s="9">
        <v>6.6491814E7</v>
      </c>
      <c r="H94" s="9" t="s">
        <v>175</v>
      </c>
      <c r="I94" s="9" t="s">
        <v>9</v>
      </c>
      <c r="J94" s="9" t="s">
        <v>170</v>
      </c>
      <c r="K94" s="10">
        <v>15000.0</v>
      </c>
    </row>
    <row r="95" ht="12.75" customHeight="1">
      <c r="A95" s="17" t="s">
        <v>635</v>
      </c>
      <c r="B95" s="17" t="s">
        <v>636</v>
      </c>
      <c r="C95" s="17" t="s">
        <v>637</v>
      </c>
      <c r="D95" s="17" t="s">
        <v>431</v>
      </c>
      <c r="E95" s="18">
        <v>5000.0</v>
      </c>
      <c r="G95" s="9">
        <v>6.649182E7</v>
      </c>
      <c r="H95" s="9" t="s">
        <v>175</v>
      </c>
      <c r="I95" s="9" t="s">
        <v>4</v>
      </c>
      <c r="J95" s="9" t="s">
        <v>170</v>
      </c>
      <c r="K95" s="10">
        <v>16000.0</v>
      </c>
    </row>
    <row r="96" ht="12.75" customHeight="1">
      <c r="A96" s="9" t="s">
        <v>638</v>
      </c>
      <c r="B96" s="9" t="s">
        <v>565</v>
      </c>
      <c r="C96" s="9" t="s">
        <v>639</v>
      </c>
      <c r="D96" s="9" t="s">
        <v>429</v>
      </c>
      <c r="E96" s="10">
        <v>13200.0</v>
      </c>
      <c r="G96" s="9">
        <v>6.6491828E7</v>
      </c>
      <c r="H96" s="9" t="s">
        <v>178</v>
      </c>
      <c r="I96" s="9" t="s">
        <v>9</v>
      </c>
      <c r="J96" s="9" t="s">
        <v>170</v>
      </c>
      <c r="K96" s="10">
        <v>5000.0</v>
      </c>
    </row>
    <row r="97" ht="12.75" customHeight="1">
      <c r="A97" s="17" t="s">
        <v>638</v>
      </c>
      <c r="B97" s="17" t="s">
        <v>565</v>
      </c>
      <c r="C97" s="17" t="s">
        <v>640</v>
      </c>
      <c r="D97" s="17" t="s">
        <v>429</v>
      </c>
      <c r="E97" s="18">
        <v>2000.0</v>
      </c>
      <c r="G97" s="9">
        <v>6.6491831E7</v>
      </c>
      <c r="H97" s="9" t="s">
        <v>178</v>
      </c>
      <c r="I97" s="9" t="s">
        <v>3</v>
      </c>
      <c r="J97" s="9" t="s">
        <v>170</v>
      </c>
      <c r="K97" s="10">
        <v>3200.0</v>
      </c>
    </row>
    <row r="98" ht="12.75" customHeight="1">
      <c r="A98" s="9" t="s">
        <v>638</v>
      </c>
      <c r="B98" s="9" t="s">
        <v>471</v>
      </c>
      <c r="C98" s="9" t="s">
        <v>641</v>
      </c>
      <c r="D98" s="9" t="s">
        <v>429</v>
      </c>
      <c r="E98" s="10">
        <v>63000.0</v>
      </c>
      <c r="G98" s="9">
        <v>6.6491936E7</v>
      </c>
      <c r="H98" s="9" t="s">
        <v>181</v>
      </c>
      <c r="I98" s="9" t="s">
        <v>9</v>
      </c>
      <c r="J98" s="9" t="s">
        <v>170</v>
      </c>
      <c r="K98" s="10">
        <v>5000.0</v>
      </c>
    </row>
    <row r="99" ht="12.75" customHeight="1">
      <c r="A99" s="17" t="s">
        <v>638</v>
      </c>
      <c r="B99" s="17" t="s">
        <v>480</v>
      </c>
      <c r="C99" s="17" t="s">
        <v>642</v>
      </c>
      <c r="D99" s="17" t="s">
        <v>429</v>
      </c>
      <c r="E99" s="18">
        <v>3200.0</v>
      </c>
      <c r="G99" s="9">
        <v>6.6492809E7</v>
      </c>
      <c r="H99" s="9" t="s">
        <v>183</v>
      </c>
      <c r="I99" s="9" t="s">
        <v>3</v>
      </c>
      <c r="J99" s="9" t="s">
        <v>29</v>
      </c>
      <c r="K99" s="10">
        <v>1600.0</v>
      </c>
    </row>
    <row r="100" ht="12.75" customHeight="1">
      <c r="A100" s="9" t="s">
        <v>638</v>
      </c>
      <c r="B100" s="9" t="s">
        <v>480</v>
      </c>
      <c r="C100" s="9" t="s">
        <v>643</v>
      </c>
      <c r="D100" s="9" t="s">
        <v>429</v>
      </c>
      <c r="E100" s="10">
        <v>3200.0</v>
      </c>
      <c r="G100" s="9">
        <v>6.6492965E7</v>
      </c>
      <c r="H100" s="9" t="s">
        <v>185</v>
      </c>
      <c r="I100" s="9" t="s">
        <v>9</v>
      </c>
      <c r="J100" s="9" t="s">
        <v>29</v>
      </c>
      <c r="K100" s="10">
        <v>5000.0</v>
      </c>
    </row>
    <row r="101" ht="12.75" customHeight="1">
      <c r="A101" s="17" t="s">
        <v>638</v>
      </c>
      <c r="B101" s="17" t="s">
        <v>644</v>
      </c>
      <c r="C101" s="17" t="s">
        <v>645</v>
      </c>
      <c r="D101" s="17" t="s">
        <v>429</v>
      </c>
      <c r="E101" s="18">
        <v>16000.0</v>
      </c>
      <c r="G101" s="9">
        <v>6.649297E7</v>
      </c>
      <c r="H101" s="9" t="s">
        <v>187</v>
      </c>
      <c r="I101" s="9" t="s">
        <v>9</v>
      </c>
      <c r="J101" s="9" t="s">
        <v>29</v>
      </c>
      <c r="K101" s="10">
        <v>5000.0</v>
      </c>
    </row>
    <row r="102" ht="12.75" customHeight="1">
      <c r="A102" s="17" t="s">
        <v>646</v>
      </c>
      <c r="B102" s="17" t="s">
        <v>647</v>
      </c>
      <c r="C102" s="17" t="s">
        <v>648</v>
      </c>
      <c r="D102" s="17" t="s">
        <v>431</v>
      </c>
      <c r="E102" s="18">
        <v>5000.0</v>
      </c>
      <c r="G102" s="9">
        <v>6.6492974E7</v>
      </c>
      <c r="H102" s="9" t="s">
        <v>185</v>
      </c>
      <c r="I102" s="9" t="s">
        <v>4</v>
      </c>
      <c r="J102" s="9" t="s">
        <v>29</v>
      </c>
      <c r="K102" s="10">
        <v>2000.0</v>
      </c>
    </row>
    <row r="103" ht="12.75" customHeight="1">
      <c r="A103" s="9" t="s">
        <v>646</v>
      </c>
      <c r="B103" s="9" t="s">
        <v>636</v>
      </c>
      <c r="C103" s="9" t="s">
        <v>649</v>
      </c>
      <c r="D103" s="9" t="s">
        <v>431</v>
      </c>
      <c r="E103" s="10">
        <v>10000.0</v>
      </c>
      <c r="G103" s="9">
        <v>6.6492977E7</v>
      </c>
      <c r="H103" s="9" t="s">
        <v>187</v>
      </c>
      <c r="I103" s="9" t="s">
        <v>4</v>
      </c>
      <c r="J103" s="9" t="s">
        <v>29</v>
      </c>
      <c r="K103" s="10">
        <v>2000.0</v>
      </c>
    </row>
    <row r="104" ht="12.75" customHeight="1">
      <c r="A104" s="9" t="s">
        <v>650</v>
      </c>
      <c r="B104" s="9" t="s">
        <v>651</v>
      </c>
      <c r="C104" s="9" t="s">
        <v>652</v>
      </c>
      <c r="D104" s="9" t="s">
        <v>431</v>
      </c>
      <c r="E104" s="10">
        <v>5000.0</v>
      </c>
      <c r="G104" s="9">
        <v>6.6493365E7</v>
      </c>
      <c r="H104" s="9" t="s">
        <v>191</v>
      </c>
      <c r="I104" s="9" t="s">
        <v>9</v>
      </c>
      <c r="J104" s="9" t="s">
        <v>29</v>
      </c>
      <c r="K104" s="10">
        <v>5000.0</v>
      </c>
    </row>
    <row r="105" ht="12.75" customHeight="1">
      <c r="A105" s="9" t="s">
        <v>653</v>
      </c>
      <c r="B105" s="9" t="s">
        <v>654</v>
      </c>
      <c r="C105" s="9" t="s">
        <v>655</v>
      </c>
      <c r="D105" s="9" t="s">
        <v>431</v>
      </c>
      <c r="E105" s="10">
        <v>15000.0</v>
      </c>
      <c r="G105" s="9">
        <v>6.649339E7</v>
      </c>
      <c r="H105" s="9" t="s">
        <v>193</v>
      </c>
      <c r="I105" s="9" t="s">
        <v>9</v>
      </c>
      <c r="J105" s="9" t="s">
        <v>29</v>
      </c>
      <c r="K105" s="10">
        <v>5000.0</v>
      </c>
    </row>
    <row r="106" ht="12.75" customHeight="1">
      <c r="A106" s="17" t="s">
        <v>653</v>
      </c>
      <c r="B106" s="17" t="s">
        <v>656</v>
      </c>
      <c r="C106" s="17" t="s">
        <v>657</v>
      </c>
      <c r="D106" s="17" t="s">
        <v>431</v>
      </c>
      <c r="E106" s="18">
        <v>5000.0</v>
      </c>
      <c r="G106" s="9">
        <v>6.6493392E7</v>
      </c>
      <c r="H106" s="9" t="s">
        <v>195</v>
      </c>
      <c r="I106" s="9" t="s">
        <v>8</v>
      </c>
      <c r="J106" s="9" t="s">
        <v>29</v>
      </c>
      <c r="K106" s="10">
        <v>70000.0</v>
      </c>
    </row>
    <row r="107" ht="12.75" customHeight="1">
      <c r="A107" s="17" t="s">
        <v>658</v>
      </c>
      <c r="B107" s="17" t="s">
        <v>471</v>
      </c>
      <c r="C107" s="17" t="s">
        <v>659</v>
      </c>
      <c r="D107" s="17" t="s">
        <v>429</v>
      </c>
      <c r="E107" s="18">
        <v>115506.0</v>
      </c>
      <c r="G107" s="9">
        <v>6.6493427E7</v>
      </c>
      <c r="H107" s="9" t="s">
        <v>197</v>
      </c>
      <c r="I107" s="9" t="s">
        <v>9</v>
      </c>
      <c r="J107" s="9" t="s">
        <v>29</v>
      </c>
      <c r="K107" s="10">
        <v>5000.0</v>
      </c>
    </row>
    <row r="108" ht="12.75" customHeight="1">
      <c r="A108" s="9" t="s">
        <v>658</v>
      </c>
      <c r="B108" s="9" t="s">
        <v>660</v>
      </c>
      <c r="C108" s="9" t="s">
        <v>661</v>
      </c>
      <c r="D108" s="9" t="s">
        <v>429</v>
      </c>
      <c r="E108" s="10">
        <v>17174.0</v>
      </c>
      <c r="G108" s="9">
        <v>6.6493432E7</v>
      </c>
      <c r="H108" s="9" t="s">
        <v>199</v>
      </c>
      <c r="I108" s="9" t="s">
        <v>7</v>
      </c>
      <c r="J108" s="9" t="s">
        <v>29</v>
      </c>
      <c r="K108" s="10">
        <v>21974.0</v>
      </c>
    </row>
    <row r="109" ht="12.75" customHeight="1">
      <c r="A109" s="17" t="s">
        <v>658</v>
      </c>
      <c r="B109" s="17" t="s">
        <v>660</v>
      </c>
      <c r="C109" s="17" t="s">
        <v>662</v>
      </c>
      <c r="D109" s="17" t="s">
        <v>429</v>
      </c>
      <c r="E109" s="18">
        <v>42474.0</v>
      </c>
      <c r="G109" s="9">
        <v>6.6493829E7</v>
      </c>
      <c r="H109" s="9" t="s">
        <v>201</v>
      </c>
      <c r="I109" s="9" t="s">
        <v>9</v>
      </c>
      <c r="J109" s="9" t="s">
        <v>203</v>
      </c>
      <c r="K109" s="10">
        <v>5000.0</v>
      </c>
    </row>
    <row r="110" ht="12.75" customHeight="1">
      <c r="A110" s="9" t="s">
        <v>658</v>
      </c>
      <c r="B110" s="9" t="s">
        <v>663</v>
      </c>
      <c r="C110" s="9" t="s">
        <v>664</v>
      </c>
      <c r="D110" s="9" t="s">
        <v>429</v>
      </c>
      <c r="E110" s="10">
        <v>10656.0</v>
      </c>
      <c r="G110" s="9">
        <v>6.6493831E7</v>
      </c>
      <c r="H110" s="9" t="s">
        <v>201</v>
      </c>
      <c r="I110" s="9" t="s">
        <v>4</v>
      </c>
      <c r="J110" s="9" t="s">
        <v>203</v>
      </c>
      <c r="K110" s="10">
        <v>14000.0</v>
      </c>
    </row>
    <row r="111" ht="12.75" customHeight="1">
      <c r="A111" s="9" t="s">
        <v>658</v>
      </c>
      <c r="B111" s="9" t="s">
        <v>660</v>
      </c>
      <c r="C111" s="9" t="s">
        <v>665</v>
      </c>
      <c r="D111" s="9" t="s">
        <v>429</v>
      </c>
      <c r="E111" s="10">
        <v>55800.0</v>
      </c>
      <c r="G111" s="9">
        <v>6.6493845E7</v>
      </c>
      <c r="H111" s="9" t="s">
        <v>205</v>
      </c>
      <c r="I111" s="9" t="s">
        <v>9</v>
      </c>
      <c r="J111" s="9" t="s">
        <v>203</v>
      </c>
      <c r="K111" s="10">
        <v>5000.0</v>
      </c>
    </row>
    <row r="112" ht="12.75" customHeight="1">
      <c r="A112" s="9" t="s">
        <v>658</v>
      </c>
      <c r="B112" s="9" t="s">
        <v>275</v>
      </c>
      <c r="C112" s="9" t="s">
        <v>666</v>
      </c>
      <c r="D112" s="9" t="s">
        <v>429</v>
      </c>
      <c r="E112" s="10">
        <v>2000.0</v>
      </c>
      <c r="G112" s="9">
        <v>6.6493851E7</v>
      </c>
      <c r="H112" s="9" t="s">
        <v>205</v>
      </c>
      <c r="I112" s="9" t="s">
        <v>4</v>
      </c>
      <c r="J112" s="9" t="s">
        <v>203</v>
      </c>
      <c r="K112" s="10">
        <v>14000.0</v>
      </c>
    </row>
    <row r="113" ht="12.75" customHeight="1">
      <c r="A113" s="17" t="s">
        <v>658</v>
      </c>
      <c r="B113" s="17" t="s">
        <v>397</v>
      </c>
      <c r="C113" s="17" t="s">
        <v>667</v>
      </c>
      <c r="D113" s="17" t="s">
        <v>429</v>
      </c>
      <c r="E113" s="18">
        <v>2000.0</v>
      </c>
      <c r="G113" s="9">
        <v>6.6493854E7</v>
      </c>
      <c r="H113" s="9" t="s">
        <v>208</v>
      </c>
      <c r="I113" s="9" t="s">
        <v>9</v>
      </c>
      <c r="J113" s="9" t="s">
        <v>203</v>
      </c>
      <c r="K113" s="10">
        <v>5000.0</v>
      </c>
    </row>
    <row r="114" ht="12.75" customHeight="1">
      <c r="A114" s="9" t="s">
        <v>658</v>
      </c>
      <c r="B114" s="9" t="s">
        <v>480</v>
      </c>
      <c r="C114" s="9" t="s">
        <v>668</v>
      </c>
      <c r="D114" s="9" t="s">
        <v>429</v>
      </c>
      <c r="E114" s="10">
        <v>1600.0</v>
      </c>
      <c r="G114" s="9">
        <v>6.6493856E7</v>
      </c>
      <c r="H114" s="9" t="s">
        <v>208</v>
      </c>
      <c r="I114" s="9" t="s">
        <v>4</v>
      </c>
      <c r="J114" s="9" t="s">
        <v>203</v>
      </c>
      <c r="K114" s="10">
        <v>2000.0</v>
      </c>
    </row>
    <row r="115" ht="12.75" customHeight="1">
      <c r="A115" s="17" t="s">
        <v>658</v>
      </c>
      <c r="B115" s="17" t="s">
        <v>199</v>
      </c>
      <c r="C115" s="17" t="s">
        <v>669</v>
      </c>
      <c r="D115" s="17" t="s">
        <v>429</v>
      </c>
      <c r="E115" s="18">
        <v>21974.0</v>
      </c>
      <c r="G115" s="9">
        <v>6.6493868E7</v>
      </c>
      <c r="H115" s="9" t="s">
        <v>211</v>
      </c>
      <c r="I115" s="9" t="s">
        <v>9</v>
      </c>
      <c r="J115" s="9" t="s">
        <v>203</v>
      </c>
      <c r="K115" s="10">
        <v>5000.0</v>
      </c>
    </row>
    <row r="116" ht="12.75" customHeight="1">
      <c r="A116" s="9" t="s">
        <v>658</v>
      </c>
      <c r="B116" s="9" t="s">
        <v>195</v>
      </c>
      <c r="C116" s="9" t="s">
        <v>670</v>
      </c>
      <c r="D116" s="9" t="s">
        <v>429</v>
      </c>
      <c r="E116" s="10">
        <v>70000.0</v>
      </c>
      <c r="G116" s="9">
        <v>6.6493872E7</v>
      </c>
      <c r="H116" s="9" t="s">
        <v>211</v>
      </c>
      <c r="I116" s="9" t="s">
        <v>4</v>
      </c>
      <c r="J116" s="9" t="s">
        <v>203</v>
      </c>
      <c r="K116" s="10">
        <v>7000.0</v>
      </c>
    </row>
    <row r="117" ht="12.75" customHeight="1">
      <c r="A117" s="17" t="s">
        <v>671</v>
      </c>
      <c r="B117" s="17" t="s">
        <v>672</v>
      </c>
      <c r="C117" s="17" t="s">
        <v>673</v>
      </c>
      <c r="D117" s="17" t="s">
        <v>431</v>
      </c>
      <c r="E117" s="18">
        <v>5000.0</v>
      </c>
      <c r="G117" s="9">
        <v>6.6493887E7</v>
      </c>
      <c r="H117" s="9" t="s">
        <v>185</v>
      </c>
      <c r="I117" s="9" t="s">
        <v>9</v>
      </c>
      <c r="J117" s="9" t="s">
        <v>203</v>
      </c>
      <c r="K117" s="10">
        <v>5000.0</v>
      </c>
    </row>
    <row r="118" ht="12.75" customHeight="1">
      <c r="A118" s="9" t="s">
        <v>674</v>
      </c>
      <c r="B118" s="9" t="s">
        <v>675</v>
      </c>
      <c r="C118" s="9" t="s">
        <v>676</v>
      </c>
      <c r="D118" s="9" t="s">
        <v>431</v>
      </c>
      <c r="E118" s="10">
        <v>5000.0</v>
      </c>
      <c r="G118" s="9">
        <v>6.6493894E7</v>
      </c>
      <c r="H118" s="9" t="s">
        <v>185</v>
      </c>
      <c r="I118" s="9" t="s">
        <v>4</v>
      </c>
      <c r="J118" s="9" t="s">
        <v>203</v>
      </c>
      <c r="K118" s="10">
        <v>2000.0</v>
      </c>
    </row>
    <row r="119" ht="12.75" customHeight="1">
      <c r="A119" s="9" t="s">
        <v>677</v>
      </c>
      <c r="B119" s="9" t="s">
        <v>678</v>
      </c>
      <c r="C119" s="9" t="s">
        <v>679</v>
      </c>
      <c r="D119" s="9" t="s">
        <v>431</v>
      </c>
      <c r="E119" s="10">
        <v>5000.0</v>
      </c>
      <c r="G119" s="9">
        <v>6.6494111E7</v>
      </c>
      <c r="H119" s="9" t="s">
        <v>216</v>
      </c>
      <c r="I119" s="9" t="s">
        <v>9</v>
      </c>
      <c r="J119" s="9" t="s">
        <v>203</v>
      </c>
      <c r="K119" s="10">
        <v>10000.0</v>
      </c>
    </row>
    <row r="120" ht="12.75" customHeight="1">
      <c r="A120" s="17" t="s">
        <v>680</v>
      </c>
      <c r="B120" s="17" t="s">
        <v>681</v>
      </c>
      <c r="C120" s="17" t="s">
        <v>682</v>
      </c>
      <c r="D120" s="17" t="s">
        <v>431</v>
      </c>
      <c r="E120" s="18">
        <v>5000.0</v>
      </c>
      <c r="G120" s="9">
        <v>6.6494117E7</v>
      </c>
      <c r="H120" s="9" t="s">
        <v>201</v>
      </c>
      <c r="I120" s="9" t="s">
        <v>9</v>
      </c>
      <c r="J120" s="9" t="s">
        <v>203</v>
      </c>
      <c r="K120" s="10">
        <v>5000.0</v>
      </c>
    </row>
    <row r="121" ht="12.75" customHeight="1">
      <c r="A121" s="17" t="s">
        <v>683</v>
      </c>
      <c r="B121" s="17" t="s">
        <v>684</v>
      </c>
      <c r="C121" s="17" t="s">
        <v>685</v>
      </c>
      <c r="D121" s="17" t="s">
        <v>429</v>
      </c>
      <c r="E121" s="18">
        <v>12400.0</v>
      </c>
      <c r="G121" s="9">
        <v>6.6494118E7</v>
      </c>
      <c r="H121" s="9" t="s">
        <v>216</v>
      </c>
      <c r="I121" s="9" t="s">
        <v>4</v>
      </c>
      <c r="J121" s="9" t="s">
        <v>203</v>
      </c>
      <c r="K121" s="10">
        <v>20000.0</v>
      </c>
    </row>
    <row r="122" ht="12.75" customHeight="1">
      <c r="A122" s="9" t="s">
        <v>683</v>
      </c>
      <c r="B122" s="9" t="s">
        <v>488</v>
      </c>
      <c r="C122" s="9" t="s">
        <v>686</v>
      </c>
      <c r="D122" s="9" t="s">
        <v>429</v>
      </c>
      <c r="E122" s="10">
        <v>1280.0</v>
      </c>
      <c r="G122" s="9">
        <v>6.6494128E7</v>
      </c>
      <c r="H122" s="9" t="s">
        <v>201</v>
      </c>
      <c r="I122" s="9" t="s">
        <v>4</v>
      </c>
      <c r="J122" s="9" t="s">
        <v>203</v>
      </c>
      <c r="K122" s="10">
        <v>14000.0</v>
      </c>
    </row>
    <row r="123" ht="12.75" customHeight="1">
      <c r="A123" s="17" t="s">
        <v>683</v>
      </c>
      <c r="B123" s="17" t="s">
        <v>397</v>
      </c>
      <c r="C123" s="17" t="s">
        <v>687</v>
      </c>
      <c r="D123" s="17" t="s">
        <v>429</v>
      </c>
      <c r="E123" s="18">
        <v>2000.0</v>
      </c>
      <c r="G123" s="9">
        <v>6.6494136E7</v>
      </c>
      <c r="H123" s="9" t="s">
        <v>221</v>
      </c>
      <c r="I123" s="9" t="s">
        <v>9</v>
      </c>
      <c r="J123" s="9" t="s">
        <v>203</v>
      </c>
      <c r="K123" s="10">
        <v>10000.0</v>
      </c>
    </row>
    <row r="124" ht="12.75" customHeight="1">
      <c r="A124" s="9" t="s">
        <v>683</v>
      </c>
      <c r="B124" s="9" t="s">
        <v>397</v>
      </c>
      <c r="C124" s="9" t="s">
        <v>688</v>
      </c>
      <c r="D124" s="9" t="s">
        <v>429</v>
      </c>
      <c r="E124" s="10">
        <v>2000.0</v>
      </c>
      <c r="G124" s="9">
        <v>6.6494142E7</v>
      </c>
      <c r="H124" s="9" t="s">
        <v>221</v>
      </c>
      <c r="I124" s="9" t="s">
        <v>8</v>
      </c>
      <c r="J124" s="9" t="s">
        <v>203</v>
      </c>
      <c r="K124" s="10">
        <v>70000.0</v>
      </c>
    </row>
    <row r="125" ht="12.75" customHeight="1">
      <c r="A125" s="17" t="s">
        <v>683</v>
      </c>
      <c r="B125" s="17" t="s">
        <v>397</v>
      </c>
      <c r="C125" s="17" t="s">
        <v>689</v>
      </c>
      <c r="D125" s="17" t="s">
        <v>429</v>
      </c>
      <c r="E125" s="18">
        <v>2000.0</v>
      </c>
      <c r="G125" s="9">
        <v>6.6494156E7</v>
      </c>
      <c r="H125" s="9" t="s">
        <v>224</v>
      </c>
      <c r="I125" s="9" t="s">
        <v>9</v>
      </c>
      <c r="J125" s="9" t="s">
        <v>203</v>
      </c>
      <c r="K125" s="10">
        <v>5000.0</v>
      </c>
    </row>
    <row r="126" ht="12.75" customHeight="1">
      <c r="A126" s="9" t="s">
        <v>683</v>
      </c>
      <c r="B126" s="9" t="s">
        <v>275</v>
      </c>
      <c r="C126" s="9" t="s">
        <v>690</v>
      </c>
      <c r="D126" s="9" t="s">
        <v>429</v>
      </c>
      <c r="E126" s="10">
        <v>2000.0</v>
      </c>
      <c r="G126" s="9">
        <v>6.6494162E7</v>
      </c>
      <c r="H126" s="9" t="s">
        <v>208</v>
      </c>
      <c r="I126" s="9" t="s">
        <v>9</v>
      </c>
      <c r="J126" s="9" t="s">
        <v>203</v>
      </c>
      <c r="K126" s="10">
        <v>5000.0</v>
      </c>
    </row>
    <row r="127" ht="12.75" customHeight="1">
      <c r="A127" s="17" t="s">
        <v>683</v>
      </c>
      <c r="B127" s="17" t="s">
        <v>691</v>
      </c>
      <c r="C127" s="17" t="s">
        <v>692</v>
      </c>
      <c r="D127" s="17" t="s">
        <v>429</v>
      </c>
      <c r="E127" s="18">
        <v>256.0</v>
      </c>
      <c r="G127" s="9">
        <v>6.6494164E7</v>
      </c>
      <c r="H127" s="9" t="s">
        <v>208</v>
      </c>
      <c r="I127" s="9" t="s">
        <v>4</v>
      </c>
      <c r="J127" s="9" t="s">
        <v>203</v>
      </c>
      <c r="K127" s="10">
        <v>2000.0</v>
      </c>
    </row>
    <row r="128" ht="12.75" customHeight="1">
      <c r="A128" s="9" t="s">
        <v>683</v>
      </c>
      <c r="B128" s="9" t="s">
        <v>663</v>
      </c>
      <c r="C128" s="9" t="s">
        <v>693</v>
      </c>
      <c r="D128" s="9" t="s">
        <v>429</v>
      </c>
      <c r="E128" s="10">
        <v>12804.0</v>
      </c>
      <c r="G128" s="9">
        <v>6.6494168E7</v>
      </c>
      <c r="H128" s="9" t="s">
        <v>224</v>
      </c>
      <c r="I128" s="9" t="s">
        <v>7</v>
      </c>
      <c r="J128" s="9" t="s">
        <v>203</v>
      </c>
      <c r="K128" s="10">
        <v>16662.0</v>
      </c>
    </row>
    <row r="129" ht="12.75" customHeight="1">
      <c r="A129" s="17" t="s">
        <v>683</v>
      </c>
      <c r="B129" s="17" t="s">
        <v>565</v>
      </c>
      <c r="C129" s="17" t="s">
        <v>694</v>
      </c>
      <c r="D129" s="17" t="s">
        <v>429</v>
      </c>
      <c r="E129" s="18">
        <v>2000.0</v>
      </c>
      <c r="G129" s="24">
        <v>6.6494218E7</v>
      </c>
      <c r="H129" s="9" t="s">
        <v>229</v>
      </c>
      <c r="I129" s="9" t="s">
        <v>10</v>
      </c>
      <c r="J129" s="9" t="s">
        <v>203</v>
      </c>
      <c r="K129" s="27">
        <v>210000.0</v>
      </c>
    </row>
    <row r="130" ht="12.75" customHeight="1">
      <c r="A130" s="9" t="s">
        <v>683</v>
      </c>
      <c r="B130" s="9" t="s">
        <v>397</v>
      </c>
      <c r="C130" s="9" t="s">
        <v>695</v>
      </c>
      <c r="D130" s="9" t="s">
        <v>429</v>
      </c>
      <c r="E130" s="10">
        <v>14000.0</v>
      </c>
      <c r="G130" s="24">
        <v>6.6494239E7</v>
      </c>
      <c r="H130" s="9" t="s">
        <v>229</v>
      </c>
      <c r="I130" s="9" t="s">
        <v>2</v>
      </c>
      <c r="J130" s="9" t="s">
        <v>203</v>
      </c>
      <c r="K130" s="27">
        <v>28000.0</v>
      </c>
    </row>
    <row r="131" ht="12.75" customHeight="1">
      <c r="A131" s="17" t="s">
        <v>683</v>
      </c>
      <c r="B131" s="17" t="s">
        <v>397</v>
      </c>
      <c r="C131" s="17" t="s">
        <v>696</v>
      </c>
      <c r="D131" s="17" t="s">
        <v>429</v>
      </c>
      <c r="E131" s="18">
        <v>2000.0</v>
      </c>
      <c r="G131" s="9">
        <v>6.6494244E7</v>
      </c>
      <c r="H131" s="9" t="s">
        <v>185</v>
      </c>
      <c r="I131" s="9" t="s">
        <v>9</v>
      </c>
      <c r="J131" s="9" t="s">
        <v>203</v>
      </c>
      <c r="K131" s="10">
        <v>5000.0</v>
      </c>
    </row>
    <row r="132" ht="12.75" customHeight="1">
      <c r="A132" s="9" t="s">
        <v>683</v>
      </c>
      <c r="B132" s="9" t="s">
        <v>697</v>
      </c>
      <c r="C132" s="9" t="s">
        <v>698</v>
      </c>
      <c r="D132" s="9" t="s">
        <v>429</v>
      </c>
      <c r="E132" s="10">
        <v>28830.0</v>
      </c>
      <c r="G132" s="9">
        <v>6.6494248E7</v>
      </c>
      <c r="H132" s="9" t="s">
        <v>185</v>
      </c>
      <c r="I132" s="9" t="s">
        <v>4</v>
      </c>
      <c r="J132" s="9" t="s">
        <v>203</v>
      </c>
      <c r="K132" s="10">
        <v>2000.0</v>
      </c>
    </row>
    <row r="133" ht="12.75" customHeight="1">
      <c r="A133" s="17" t="s">
        <v>683</v>
      </c>
      <c r="B133" s="17" t="s">
        <v>699</v>
      </c>
      <c r="C133" s="17" t="s">
        <v>700</v>
      </c>
      <c r="D133" s="17" t="s">
        <v>429</v>
      </c>
      <c r="E133" s="18">
        <v>5100.0</v>
      </c>
      <c r="G133" s="9">
        <v>6.6494432E7</v>
      </c>
      <c r="H133" s="9" t="s">
        <v>234</v>
      </c>
      <c r="I133" s="9" t="s">
        <v>9</v>
      </c>
      <c r="J133" s="9" t="s">
        <v>203</v>
      </c>
      <c r="K133" s="10">
        <v>5000.0</v>
      </c>
    </row>
    <row r="134" ht="12.75" customHeight="1">
      <c r="A134" s="9" t="s">
        <v>683</v>
      </c>
      <c r="B134" s="9" t="s">
        <v>397</v>
      </c>
      <c r="C134" s="9" t="s">
        <v>701</v>
      </c>
      <c r="D134" s="9" t="s">
        <v>429</v>
      </c>
      <c r="E134" s="10">
        <v>2000.0</v>
      </c>
      <c r="G134" s="9">
        <v>6.6494481E7</v>
      </c>
      <c r="H134" s="9" t="s">
        <v>236</v>
      </c>
      <c r="I134" s="9" t="s">
        <v>9</v>
      </c>
      <c r="J134" s="9" t="s">
        <v>203</v>
      </c>
      <c r="K134" s="10">
        <v>5000.0</v>
      </c>
    </row>
    <row r="135" ht="12.75" customHeight="1">
      <c r="A135" s="17" t="s">
        <v>683</v>
      </c>
      <c r="B135" s="17" t="s">
        <v>397</v>
      </c>
      <c r="C135" s="17" t="s">
        <v>702</v>
      </c>
      <c r="D135" s="17" t="s">
        <v>429</v>
      </c>
      <c r="E135" s="18">
        <v>2000.0</v>
      </c>
      <c r="G135" s="9">
        <v>6.6494491E7</v>
      </c>
      <c r="H135" s="9" t="s">
        <v>236</v>
      </c>
      <c r="I135" s="9" t="s">
        <v>8</v>
      </c>
      <c r="J135" s="9" t="s">
        <v>203</v>
      </c>
      <c r="K135" s="10">
        <v>50000.0</v>
      </c>
    </row>
    <row r="136" ht="12.75" customHeight="1">
      <c r="A136" s="17" t="s">
        <v>683</v>
      </c>
      <c r="B136" s="17" t="s">
        <v>275</v>
      </c>
      <c r="C136" s="17" t="s">
        <v>703</v>
      </c>
      <c r="D136" s="17" t="s">
        <v>429</v>
      </c>
      <c r="E136" s="18">
        <v>2000.0</v>
      </c>
      <c r="G136" s="9">
        <v>6.6494544E7</v>
      </c>
      <c r="H136" s="9" t="s">
        <v>239</v>
      </c>
      <c r="I136" s="9" t="s">
        <v>9</v>
      </c>
      <c r="J136" s="9" t="s">
        <v>203</v>
      </c>
      <c r="K136" s="10">
        <v>5000.0</v>
      </c>
    </row>
    <row r="137" ht="12.75" customHeight="1">
      <c r="A137" s="9" t="s">
        <v>683</v>
      </c>
      <c r="B137" s="9" t="s">
        <v>275</v>
      </c>
      <c r="C137" s="9" t="s">
        <v>704</v>
      </c>
      <c r="D137" s="9" t="s">
        <v>429</v>
      </c>
      <c r="E137" s="10">
        <v>2000.0</v>
      </c>
      <c r="G137" s="9">
        <v>6.6494633E7</v>
      </c>
      <c r="H137" s="9" t="s">
        <v>208</v>
      </c>
      <c r="I137" s="9" t="s">
        <v>9</v>
      </c>
      <c r="J137" s="9" t="s">
        <v>203</v>
      </c>
      <c r="K137" s="10">
        <v>5000.0</v>
      </c>
    </row>
    <row r="138" ht="12.75" customHeight="1">
      <c r="A138" s="17" t="s">
        <v>683</v>
      </c>
      <c r="B138" s="17" t="s">
        <v>275</v>
      </c>
      <c r="C138" s="17" t="s">
        <v>705</v>
      </c>
      <c r="D138" s="17" t="s">
        <v>429</v>
      </c>
      <c r="E138" s="18">
        <v>2000.0</v>
      </c>
      <c r="G138" s="9">
        <v>6.6494635E7</v>
      </c>
      <c r="H138" s="9" t="s">
        <v>208</v>
      </c>
      <c r="I138" s="9" t="s">
        <v>4</v>
      </c>
      <c r="J138" s="9" t="s">
        <v>203</v>
      </c>
      <c r="K138" s="10">
        <v>2000.0</v>
      </c>
    </row>
    <row r="139" ht="12.75" customHeight="1">
      <c r="A139" s="9" t="s">
        <v>683</v>
      </c>
      <c r="B139" s="9" t="s">
        <v>275</v>
      </c>
      <c r="C139" s="9" t="s">
        <v>706</v>
      </c>
      <c r="D139" s="9" t="s">
        <v>429</v>
      </c>
      <c r="E139" s="10">
        <v>20000.0</v>
      </c>
      <c r="G139" s="9">
        <v>6.6494691E7</v>
      </c>
      <c r="H139" s="9" t="s">
        <v>205</v>
      </c>
      <c r="I139" s="9" t="s">
        <v>9</v>
      </c>
      <c r="J139" s="9" t="s">
        <v>203</v>
      </c>
      <c r="K139" s="10">
        <v>5000.0</v>
      </c>
    </row>
    <row r="140" ht="12.75" customHeight="1">
      <c r="A140" s="17" t="s">
        <v>683</v>
      </c>
      <c r="B140" s="17" t="s">
        <v>275</v>
      </c>
      <c r="C140" s="17" t="s">
        <v>707</v>
      </c>
      <c r="D140" s="17" t="s">
        <v>429</v>
      </c>
      <c r="E140" s="18">
        <v>2000.0</v>
      </c>
      <c r="G140" s="9">
        <v>6.6494694E7</v>
      </c>
      <c r="H140" s="9" t="s">
        <v>211</v>
      </c>
      <c r="I140" s="9" t="s">
        <v>9</v>
      </c>
      <c r="J140" s="9" t="s">
        <v>203</v>
      </c>
      <c r="K140" s="10">
        <v>5000.0</v>
      </c>
    </row>
    <row r="141" ht="12.75" customHeight="1">
      <c r="A141" s="9" t="s">
        <v>683</v>
      </c>
      <c r="B141" s="9" t="s">
        <v>275</v>
      </c>
      <c r="C141" s="9" t="s">
        <v>708</v>
      </c>
      <c r="D141" s="9" t="s">
        <v>429</v>
      </c>
      <c r="E141" s="10">
        <v>14000.0</v>
      </c>
      <c r="G141" s="9">
        <v>6.6494698E7</v>
      </c>
      <c r="H141" s="9" t="s">
        <v>211</v>
      </c>
      <c r="I141" s="9" t="s">
        <v>4</v>
      </c>
      <c r="J141" s="9" t="s">
        <v>203</v>
      </c>
      <c r="K141" s="10">
        <v>2000.0</v>
      </c>
    </row>
    <row r="142" ht="12.75" customHeight="1">
      <c r="A142" s="17" t="s">
        <v>683</v>
      </c>
      <c r="B142" s="17" t="s">
        <v>275</v>
      </c>
      <c r="C142" s="17" t="s">
        <v>709</v>
      </c>
      <c r="D142" s="17" t="s">
        <v>429</v>
      </c>
      <c r="E142" s="18">
        <v>7000.0</v>
      </c>
      <c r="G142" s="9">
        <v>6.6495313E7</v>
      </c>
      <c r="H142" s="9" t="s">
        <v>246</v>
      </c>
      <c r="I142" s="9" t="s">
        <v>9</v>
      </c>
      <c r="J142" s="9" t="s">
        <v>248</v>
      </c>
      <c r="K142" s="10">
        <v>5000.0</v>
      </c>
    </row>
    <row r="143" ht="12.75" customHeight="1">
      <c r="A143" s="9" t="s">
        <v>683</v>
      </c>
      <c r="B143" s="9" t="s">
        <v>275</v>
      </c>
      <c r="C143" s="9" t="s">
        <v>710</v>
      </c>
      <c r="D143" s="9" t="s">
        <v>429</v>
      </c>
      <c r="E143" s="10">
        <v>14000.0</v>
      </c>
      <c r="G143" s="9">
        <v>6.6495317E7</v>
      </c>
      <c r="H143" s="9" t="s">
        <v>249</v>
      </c>
      <c r="I143" s="9" t="s">
        <v>4</v>
      </c>
      <c r="J143" s="9" t="s">
        <v>248</v>
      </c>
      <c r="K143" s="10">
        <v>14000.0</v>
      </c>
    </row>
    <row r="144" ht="12.75" customHeight="1">
      <c r="A144" s="17" t="s">
        <v>683</v>
      </c>
      <c r="B144" s="17" t="s">
        <v>275</v>
      </c>
      <c r="C144" s="17" t="s">
        <v>711</v>
      </c>
      <c r="D144" s="17" t="s">
        <v>429</v>
      </c>
      <c r="E144" s="18">
        <v>14000.0</v>
      </c>
      <c r="G144" s="9">
        <v>6.6495319E7</v>
      </c>
      <c r="H144" s="9" t="s">
        <v>249</v>
      </c>
      <c r="I144" s="9" t="s">
        <v>4</v>
      </c>
      <c r="J144" s="9" t="s">
        <v>248</v>
      </c>
      <c r="K144" s="10">
        <v>42000.0</v>
      </c>
    </row>
    <row r="145" ht="12.75" customHeight="1">
      <c r="A145" s="9" t="s">
        <v>683</v>
      </c>
      <c r="B145" s="9" t="s">
        <v>275</v>
      </c>
      <c r="C145" s="9" t="s">
        <v>712</v>
      </c>
      <c r="D145" s="9" t="s">
        <v>429</v>
      </c>
      <c r="E145" s="10">
        <v>2000.0</v>
      </c>
      <c r="G145" s="9">
        <v>6.6495328E7</v>
      </c>
      <c r="H145" s="9" t="s">
        <v>252</v>
      </c>
      <c r="I145" s="9" t="s">
        <v>9</v>
      </c>
      <c r="J145" s="9" t="s">
        <v>248</v>
      </c>
      <c r="K145" s="10">
        <v>10000.0</v>
      </c>
    </row>
    <row r="146" ht="12.75" customHeight="1">
      <c r="A146" s="17" t="s">
        <v>683</v>
      </c>
      <c r="B146" s="17" t="s">
        <v>275</v>
      </c>
      <c r="C146" s="17" t="s">
        <v>713</v>
      </c>
      <c r="D146" s="17" t="s">
        <v>429</v>
      </c>
      <c r="E146" s="18">
        <v>2000.0</v>
      </c>
      <c r="G146" s="9">
        <v>6.6495884E7</v>
      </c>
      <c r="H146" s="9" t="s">
        <v>201</v>
      </c>
      <c r="I146" s="9" t="s">
        <v>9</v>
      </c>
      <c r="J146" s="9" t="s">
        <v>248</v>
      </c>
      <c r="K146" s="10">
        <v>5000.0</v>
      </c>
    </row>
    <row r="147" ht="12.75" customHeight="1">
      <c r="A147" s="9" t="s">
        <v>683</v>
      </c>
      <c r="B147" s="9" t="s">
        <v>714</v>
      </c>
      <c r="C147" s="9" t="s">
        <v>715</v>
      </c>
      <c r="D147" s="9" t="s">
        <v>429</v>
      </c>
      <c r="E147" s="10">
        <v>16662.0</v>
      </c>
      <c r="G147" s="9">
        <v>6.649589E7</v>
      </c>
      <c r="H147" s="9" t="s">
        <v>201</v>
      </c>
      <c r="I147" s="9" t="s">
        <v>4</v>
      </c>
      <c r="J147" s="9" t="s">
        <v>248</v>
      </c>
      <c r="K147" s="10">
        <v>14000.0</v>
      </c>
    </row>
    <row r="148" ht="12.75" customHeight="1">
      <c r="A148" s="17" t="s">
        <v>683</v>
      </c>
      <c r="B148" s="17" t="s">
        <v>716</v>
      </c>
      <c r="C148" s="17" t="s">
        <v>717</v>
      </c>
      <c r="D148" s="17" t="s">
        <v>429</v>
      </c>
      <c r="E148" s="18">
        <v>70000.0</v>
      </c>
      <c r="G148" s="9">
        <v>6.6496156E7</v>
      </c>
      <c r="H148" s="9" t="s">
        <v>256</v>
      </c>
      <c r="I148" s="9" t="s">
        <v>9</v>
      </c>
      <c r="J148" s="9" t="s">
        <v>248</v>
      </c>
      <c r="K148" s="10">
        <v>5000.0</v>
      </c>
    </row>
    <row r="149" ht="12.75" customHeight="1">
      <c r="A149" s="9" t="s">
        <v>683</v>
      </c>
      <c r="B149" s="9" t="s">
        <v>718</v>
      </c>
      <c r="C149" s="9" t="s">
        <v>719</v>
      </c>
      <c r="D149" s="9" t="s">
        <v>429</v>
      </c>
      <c r="E149" s="10">
        <v>50000.0</v>
      </c>
      <c r="G149" s="9">
        <v>6.6496158E7</v>
      </c>
      <c r="H149" s="9" t="s">
        <v>249</v>
      </c>
      <c r="I149" s="9" t="s">
        <v>4</v>
      </c>
      <c r="J149" s="9" t="s">
        <v>248</v>
      </c>
      <c r="K149" s="10">
        <v>14000.0</v>
      </c>
    </row>
    <row r="150" ht="12.75" customHeight="1">
      <c r="A150" s="17" t="s">
        <v>683</v>
      </c>
      <c r="B150" s="17" t="s">
        <v>718</v>
      </c>
      <c r="C150" s="17" t="s">
        <v>720</v>
      </c>
      <c r="D150" s="17" t="s">
        <v>429</v>
      </c>
      <c r="E150" s="18">
        <v>50000.0</v>
      </c>
      <c r="G150" s="28">
        <v>6.6496182E7</v>
      </c>
      <c r="H150" s="9" t="s">
        <v>259</v>
      </c>
      <c r="I150" s="9" t="s">
        <v>9</v>
      </c>
      <c r="J150" s="9" t="s">
        <v>248</v>
      </c>
      <c r="K150" s="10">
        <v>5000.0</v>
      </c>
    </row>
    <row r="151" ht="12.75" customHeight="1">
      <c r="A151" s="9" t="s">
        <v>721</v>
      </c>
      <c r="B151" s="9" t="s">
        <v>722</v>
      </c>
      <c r="C151" s="9" t="s">
        <v>723</v>
      </c>
      <c r="D151" s="9" t="s">
        <v>431</v>
      </c>
      <c r="E151" s="10">
        <v>5000.0</v>
      </c>
      <c r="G151" s="9">
        <v>6.6497023E7</v>
      </c>
      <c r="H151" s="9" t="s">
        <v>205</v>
      </c>
      <c r="I151" s="9" t="s">
        <v>9</v>
      </c>
      <c r="J151" s="9" t="s">
        <v>262</v>
      </c>
      <c r="K151" s="10">
        <v>5000.0</v>
      </c>
    </row>
    <row r="152" ht="12.75" customHeight="1">
      <c r="A152" s="17" t="s">
        <v>724</v>
      </c>
      <c r="B152" s="17" t="s">
        <v>725</v>
      </c>
      <c r="C152" s="17" t="s">
        <v>726</v>
      </c>
      <c r="D152" s="17" t="s">
        <v>431</v>
      </c>
      <c r="E152" s="18">
        <v>5000.0</v>
      </c>
      <c r="G152" s="9">
        <v>6.6497035E7</v>
      </c>
      <c r="H152" s="9" t="s">
        <v>205</v>
      </c>
      <c r="I152" s="9" t="s">
        <v>9</v>
      </c>
      <c r="J152" s="9" t="s">
        <v>262</v>
      </c>
      <c r="K152" s="10">
        <v>5000.0</v>
      </c>
    </row>
    <row r="153" ht="12.75" customHeight="1">
      <c r="A153" s="17" t="s">
        <v>727</v>
      </c>
      <c r="B153" s="17" t="s">
        <v>675</v>
      </c>
      <c r="C153" s="17" t="s">
        <v>728</v>
      </c>
      <c r="D153" s="17" t="s">
        <v>431</v>
      </c>
      <c r="E153" s="18">
        <v>5000.0</v>
      </c>
      <c r="G153" s="9">
        <v>6.649705E7</v>
      </c>
      <c r="H153" s="9" t="s">
        <v>205</v>
      </c>
      <c r="I153" s="9" t="s">
        <v>4</v>
      </c>
      <c r="J153" s="9" t="s">
        <v>262</v>
      </c>
      <c r="K153" s="10">
        <v>14000.0</v>
      </c>
    </row>
    <row r="154" ht="12.75" customHeight="1">
      <c r="A154" s="17" t="s">
        <v>727</v>
      </c>
      <c r="B154" s="17" t="s">
        <v>675</v>
      </c>
      <c r="C154" s="17" t="s">
        <v>729</v>
      </c>
      <c r="D154" s="17" t="s">
        <v>431</v>
      </c>
      <c r="E154" s="18">
        <v>5000.0</v>
      </c>
      <c r="G154" s="9">
        <v>6.6497086E7</v>
      </c>
      <c r="H154" s="9" t="s">
        <v>265</v>
      </c>
      <c r="I154" s="9" t="s">
        <v>7</v>
      </c>
      <c r="J154" s="9" t="s">
        <v>262</v>
      </c>
      <c r="K154" s="10">
        <v>1000.0</v>
      </c>
    </row>
    <row r="155" ht="12.75" customHeight="1">
      <c r="A155" s="17" t="s">
        <v>730</v>
      </c>
      <c r="B155" s="17" t="s">
        <v>578</v>
      </c>
      <c r="C155" s="17" t="s">
        <v>731</v>
      </c>
      <c r="D155" s="17" t="s">
        <v>431</v>
      </c>
      <c r="E155" s="18">
        <v>5000.0</v>
      </c>
      <c r="G155" s="9">
        <v>6.649713E7</v>
      </c>
      <c r="H155" s="9" t="s">
        <v>267</v>
      </c>
      <c r="I155" s="9" t="s">
        <v>9</v>
      </c>
      <c r="J155" s="9" t="s">
        <v>262</v>
      </c>
      <c r="K155" s="10">
        <v>5000.0</v>
      </c>
    </row>
    <row r="156" ht="12.75" customHeight="1">
      <c r="A156" s="17" t="s">
        <v>732</v>
      </c>
      <c r="B156" s="17" t="s">
        <v>672</v>
      </c>
      <c r="C156" s="17" t="s">
        <v>733</v>
      </c>
      <c r="D156" s="17" t="s">
        <v>431</v>
      </c>
      <c r="E156" s="18">
        <v>5000.0</v>
      </c>
      <c r="G156" s="9">
        <v>6.6497492E7</v>
      </c>
      <c r="H156" s="9" t="s">
        <v>211</v>
      </c>
      <c r="I156" s="9" t="s">
        <v>9</v>
      </c>
      <c r="J156" s="9" t="s">
        <v>262</v>
      </c>
      <c r="K156" s="10">
        <v>5000.0</v>
      </c>
    </row>
    <row r="157" ht="12.75" customHeight="1">
      <c r="A157" s="9" t="s">
        <v>734</v>
      </c>
      <c r="B157" s="9" t="s">
        <v>735</v>
      </c>
      <c r="C157" s="9" t="s">
        <v>736</v>
      </c>
      <c r="D157" s="9" t="s">
        <v>431</v>
      </c>
      <c r="E157" s="10">
        <v>10000.0</v>
      </c>
      <c r="G157" s="9">
        <v>6.6497496E7</v>
      </c>
      <c r="H157" s="9" t="s">
        <v>249</v>
      </c>
      <c r="I157" s="9" t="s">
        <v>4</v>
      </c>
      <c r="J157" s="9" t="s">
        <v>262</v>
      </c>
      <c r="K157" s="10">
        <v>7000.0</v>
      </c>
    </row>
    <row r="158" ht="12.75" customHeight="1">
      <c r="A158" s="9" t="s">
        <v>734</v>
      </c>
      <c r="B158" s="9" t="s">
        <v>737</v>
      </c>
      <c r="C158" s="9" t="s">
        <v>738</v>
      </c>
      <c r="D158" s="9" t="s">
        <v>431</v>
      </c>
      <c r="E158" s="10">
        <v>5000.0</v>
      </c>
      <c r="G158" s="9">
        <v>6.6497675E7</v>
      </c>
      <c r="H158" s="9" t="s">
        <v>271</v>
      </c>
      <c r="I158" s="9" t="s">
        <v>10</v>
      </c>
      <c r="J158" s="9" t="s">
        <v>262</v>
      </c>
      <c r="K158" s="10">
        <v>210000.0</v>
      </c>
    </row>
    <row r="159" ht="12.75" customHeight="1">
      <c r="A159" s="9" t="s">
        <v>739</v>
      </c>
      <c r="B159" s="9" t="s">
        <v>678</v>
      </c>
      <c r="C159" s="9" t="s">
        <v>740</v>
      </c>
      <c r="D159" s="9" t="s">
        <v>431</v>
      </c>
      <c r="E159" s="10">
        <v>10000.0</v>
      </c>
      <c r="G159" s="9">
        <v>6.6497692E7</v>
      </c>
      <c r="H159" s="9" t="s">
        <v>273</v>
      </c>
      <c r="I159" s="9" t="s">
        <v>9</v>
      </c>
      <c r="J159" s="9" t="s">
        <v>262</v>
      </c>
      <c r="K159" s="10">
        <v>5000.0</v>
      </c>
    </row>
    <row r="160" ht="12.75" customHeight="1">
      <c r="A160" s="9" t="s">
        <v>741</v>
      </c>
      <c r="B160" s="9" t="s">
        <v>722</v>
      </c>
      <c r="C160" s="9" t="s">
        <v>742</v>
      </c>
      <c r="D160" s="9" t="s">
        <v>431</v>
      </c>
      <c r="E160" s="10">
        <v>5000.0</v>
      </c>
      <c r="G160" s="9">
        <v>6.6497827E7</v>
      </c>
      <c r="H160" s="9" t="s">
        <v>275</v>
      </c>
      <c r="I160" s="9" t="s">
        <v>4</v>
      </c>
      <c r="J160" s="9" t="s">
        <v>262</v>
      </c>
      <c r="K160" s="10">
        <v>6000.0</v>
      </c>
    </row>
    <row r="161" ht="12.75" customHeight="1">
      <c r="A161" s="9" t="s">
        <v>743</v>
      </c>
      <c r="B161" s="9" t="s">
        <v>672</v>
      </c>
      <c r="C161" s="9" t="s">
        <v>744</v>
      </c>
      <c r="D161" s="9" t="s">
        <v>431</v>
      </c>
      <c r="E161" s="10">
        <v>5000.0</v>
      </c>
      <c r="G161" s="9">
        <v>6.6499735E7</v>
      </c>
      <c r="H161" s="9" t="s">
        <v>277</v>
      </c>
      <c r="I161" s="9" t="s">
        <v>9</v>
      </c>
      <c r="J161" s="9" t="s">
        <v>279</v>
      </c>
      <c r="K161" s="10">
        <v>15000.0</v>
      </c>
    </row>
    <row r="162" ht="12.75" customHeight="1">
      <c r="A162" s="17" t="s">
        <v>745</v>
      </c>
      <c r="B162" s="17" t="s">
        <v>746</v>
      </c>
      <c r="C162" s="17" t="s">
        <v>747</v>
      </c>
      <c r="D162" s="17" t="s">
        <v>431</v>
      </c>
      <c r="E162" s="18">
        <v>5000.0</v>
      </c>
      <c r="G162" s="9">
        <v>6.6499739E7</v>
      </c>
      <c r="H162" s="9" t="s">
        <v>277</v>
      </c>
      <c r="I162" s="9" t="s">
        <v>3</v>
      </c>
      <c r="J162" s="9" t="s">
        <v>279</v>
      </c>
      <c r="K162" s="10">
        <v>10752.0</v>
      </c>
    </row>
    <row r="163" ht="12.75" customHeight="1">
      <c r="A163" s="17" t="s">
        <v>745</v>
      </c>
      <c r="B163" s="17" t="s">
        <v>748</v>
      </c>
      <c r="C163" s="17" t="s">
        <v>749</v>
      </c>
      <c r="D163" s="17" t="s">
        <v>431</v>
      </c>
      <c r="E163" s="18">
        <v>5000.0</v>
      </c>
      <c r="G163" s="9">
        <v>6.6499862E7</v>
      </c>
      <c r="H163" s="9" t="s">
        <v>281</v>
      </c>
      <c r="I163" s="9" t="s">
        <v>9</v>
      </c>
      <c r="J163" s="9" t="s">
        <v>279</v>
      </c>
      <c r="K163" s="10">
        <v>15000.0</v>
      </c>
    </row>
    <row r="164" ht="12.75" customHeight="1">
      <c r="A164" s="9" t="s">
        <v>750</v>
      </c>
      <c r="B164" s="9" t="s">
        <v>751</v>
      </c>
      <c r="C164" s="9" t="s">
        <v>752</v>
      </c>
      <c r="D164" s="9" t="s">
        <v>431</v>
      </c>
      <c r="E164" s="10">
        <v>5000.0</v>
      </c>
      <c r="G164" s="9">
        <v>6.6499865E7</v>
      </c>
      <c r="H164" s="9" t="s">
        <v>281</v>
      </c>
      <c r="I164" s="9" t="s">
        <v>3</v>
      </c>
      <c r="J164" s="9" t="s">
        <v>279</v>
      </c>
      <c r="K164" s="10">
        <v>10496.0</v>
      </c>
    </row>
    <row r="165" ht="12.75" customHeight="1">
      <c r="A165" s="17" t="s">
        <v>753</v>
      </c>
      <c r="B165" s="17" t="s">
        <v>675</v>
      </c>
      <c r="C165" s="17" t="s">
        <v>754</v>
      </c>
      <c r="D165" s="17" t="s">
        <v>431</v>
      </c>
      <c r="E165" s="18">
        <v>5000.0</v>
      </c>
      <c r="G165" s="9">
        <v>6.6499909E7</v>
      </c>
      <c r="H165" s="9" t="s">
        <v>284</v>
      </c>
      <c r="I165" s="9" t="s">
        <v>9</v>
      </c>
      <c r="J165" s="9" t="s">
        <v>279</v>
      </c>
      <c r="K165" s="10">
        <v>35000.0</v>
      </c>
    </row>
    <row r="166" ht="12.75" customHeight="1">
      <c r="A166" s="9" t="s">
        <v>755</v>
      </c>
      <c r="B166" s="9" t="s">
        <v>578</v>
      </c>
      <c r="C166" s="9" t="s">
        <v>756</v>
      </c>
      <c r="D166" s="9" t="s">
        <v>431</v>
      </c>
      <c r="E166" s="10">
        <v>5000.0</v>
      </c>
      <c r="G166" s="9">
        <v>6.649991E7</v>
      </c>
      <c r="H166" s="9" t="s">
        <v>284</v>
      </c>
      <c r="I166" s="9" t="s">
        <v>7</v>
      </c>
      <c r="J166" s="9" t="s">
        <v>279</v>
      </c>
      <c r="K166" s="10">
        <v>56000.0</v>
      </c>
    </row>
    <row r="167" ht="12.75" customHeight="1">
      <c r="A167" s="9" t="s">
        <v>757</v>
      </c>
      <c r="B167" s="9" t="s">
        <v>758</v>
      </c>
      <c r="C167" s="9" t="s">
        <v>759</v>
      </c>
      <c r="D167" s="9" t="s">
        <v>431</v>
      </c>
      <c r="E167" s="10">
        <v>5000.0</v>
      </c>
      <c r="G167" s="9">
        <v>6.6499941E7</v>
      </c>
      <c r="H167" s="9" t="s">
        <v>287</v>
      </c>
      <c r="I167" s="9" t="s">
        <v>9</v>
      </c>
      <c r="J167" s="9" t="s">
        <v>279</v>
      </c>
      <c r="K167" s="10">
        <v>10000.0</v>
      </c>
    </row>
    <row r="168" ht="12.75" customHeight="1">
      <c r="A168" s="9" t="s">
        <v>760</v>
      </c>
      <c r="B168" s="9" t="s">
        <v>761</v>
      </c>
      <c r="C168" s="9" t="s">
        <v>762</v>
      </c>
      <c r="D168" s="9" t="s">
        <v>429</v>
      </c>
      <c r="E168" s="10">
        <v>5100.0</v>
      </c>
      <c r="G168" s="9">
        <v>6.6499945E7</v>
      </c>
      <c r="H168" s="9" t="s">
        <v>287</v>
      </c>
      <c r="I168" s="9" t="s">
        <v>3</v>
      </c>
      <c r="J168" s="9" t="s">
        <v>279</v>
      </c>
      <c r="K168" s="10">
        <v>10752.0</v>
      </c>
    </row>
    <row r="169" ht="12.75" customHeight="1">
      <c r="A169" s="17" t="s">
        <v>760</v>
      </c>
      <c r="B169" s="17" t="s">
        <v>565</v>
      </c>
      <c r="C169" s="17" t="s">
        <v>763</v>
      </c>
      <c r="D169" s="17" t="s">
        <v>429</v>
      </c>
      <c r="E169" s="18">
        <v>14000.0</v>
      </c>
      <c r="G169" s="9">
        <v>6.6500645E7</v>
      </c>
      <c r="H169" s="9" t="s">
        <v>45</v>
      </c>
      <c r="I169" s="9" t="s">
        <v>9</v>
      </c>
      <c r="J169" s="9" t="s">
        <v>291</v>
      </c>
      <c r="K169" s="10">
        <v>5000.0</v>
      </c>
    </row>
    <row r="170" ht="12.75" customHeight="1">
      <c r="A170" s="9" t="s">
        <v>760</v>
      </c>
      <c r="B170" s="9" t="s">
        <v>565</v>
      </c>
      <c r="C170" s="9" t="s">
        <v>764</v>
      </c>
      <c r="D170" s="9" t="s">
        <v>429</v>
      </c>
      <c r="E170" s="10">
        <v>2200.0</v>
      </c>
      <c r="G170" s="9">
        <v>6.6500662E7</v>
      </c>
      <c r="H170" s="9" t="s">
        <v>45</v>
      </c>
      <c r="I170" s="9" t="s">
        <v>3</v>
      </c>
      <c r="J170" s="9" t="s">
        <v>291</v>
      </c>
      <c r="K170" s="10">
        <v>3431.0</v>
      </c>
    </row>
    <row r="171" ht="12.75" customHeight="1">
      <c r="A171" s="17" t="s">
        <v>760</v>
      </c>
      <c r="B171" s="17" t="s">
        <v>765</v>
      </c>
      <c r="C171" s="17" t="s">
        <v>766</v>
      </c>
      <c r="D171" s="17" t="s">
        <v>429</v>
      </c>
      <c r="E171" s="18">
        <v>14000.0</v>
      </c>
      <c r="G171" s="9">
        <v>6.6500682E7</v>
      </c>
      <c r="H171" s="9" t="s">
        <v>293</v>
      </c>
      <c r="I171" s="9" t="s">
        <v>9</v>
      </c>
      <c r="J171" s="9" t="s">
        <v>291</v>
      </c>
      <c r="K171" s="10">
        <v>10000.0</v>
      </c>
    </row>
    <row r="172" ht="12.75" customHeight="1">
      <c r="A172" s="9" t="s">
        <v>760</v>
      </c>
      <c r="B172" s="9" t="s">
        <v>397</v>
      </c>
      <c r="C172" s="9" t="s">
        <v>767</v>
      </c>
      <c r="D172" s="9" t="s">
        <v>429</v>
      </c>
      <c r="E172" s="10">
        <v>14000.0</v>
      </c>
      <c r="G172" s="9">
        <v>6.6500683E7</v>
      </c>
      <c r="H172" s="9" t="s">
        <v>293</v>
      </c>
      <c r="I172" s="9" t="s">
        <v>8</v>
      </c>
      <c r="J172" s="9" t="s">
        <v>291</v>
      </c>
      <c r="K172" s="10">
        <v>63000.0</v>
      </c>
    </row>
    <row r="173" ht="12.75" customHeight="1">
      <c r="A173" s="17" t="s">
        <v>760</v>
      </c>
      <c r="B173" s="17" t="s">
        <v>275</v>
      </c>
      <c r="C173" s="17" t="s">
        <v>768</v>
      </c>
      <c r="D173" s="17" t="s">
        <v>429</v>
      </c>
      <c r="E173" s="18">
        <v>42000.0</v>
      </c>
      <c r="G173" s="9">
        <v>6.6500734E7</v>
      </c>
      <c r="H173" s="9" t="s">
        <v>296</v>
      </c>
      <c r="I173" s="9" t="s">
        <v>9</v>
      </c>
      <c r="J173" s="9" t="s">
        <v>291</v>
      </c>
      <c r="K173" s="10">
        <v>5000.0</v>
      </c>
    </row>
    <row r="174" ht="12.75" customHeight="1">
      <c r="A174" s="9" t="s">
        <v>760</v>
      </c>
      <c r="B174" s="9" t="s">
        <v>275</v>
      </c>
      <c r="C174" s="9" t="s">
        <v>769</v>
      </c>
      <c r="D174" s="9" t="s">
        <v>429</v>
      </c>
      <c r="E174" s="10">
        <v>14000.0</v>
      </c>
      <c r="G174" s="9">
        <v>6.6500744E7</v>
      </c>
      <c r="H174" s="9" t="s">
        <v>296</v>
      </c>
      <c r="I174" s="9" t="s">
        <v>3</v>
      </c>
      <c r="J174" s="9" t="s">
        <v>291</v>
      </c>
      <c r="K174" s="10">
        <v>13600.0</v>
      </c>
    </row>
    <row r="175" ht="12.75" customHeight="1">
      <c r="A175" s="17" t="s">
        <v>760</v>
      </c>
      <c r="B175" s="17" t="s">
        <v>397</v>
      </c>
      <c r="C175" s="17" t="s">
        <v>770</v>
      </c>
      <c r="D175" s="17" t="s">
        <v>429</v>
      </c>
      <c r="E175" s="18">
        <v>14000.0</v>
      </c>
      <c r="G175" s="9">
        <v>6.6501653E7</v>
      </c>
      <c r="H175" s="9" t="s">
        <v>299</v>
      </c>
      <c r="I175" s="9" t="s">
        <v>9</v>
      </c>
      <c r="J175" s="9" t="s">
        <v>301</v>
      </c>
      <c r="K175" s="10">
        <v>5000.0</v>
      </c>
    </row>
    <row r="176" ht="12.75" customHeight="1">
      <c r="A176" s="17" t="s">
        <v>771</v>
      </c>
      <c r="B176" s="17" t="s">
        <v>725</v>
      </c>
      <c r="C176" s="17" t="s">
        <v>772</v>
      </c>
      <c r="D176" s="17" t="s">
        <v>431</v>
      </c>
      <c r="E176" s="18">
        <v>5000.0</v>
      </c>
      <c r="G176" s="9">
        <v>6.6501657E7</v>
      </c>
      <c r="H176" s="9" t="s">
        <v>302</v>
      </c>
      <c r="I176" s="9" t="s">
        <v>9</v>
      </c>
      <c r="J176" s="9" t="s">
        <v>301</v>
      </c>
      <c r="K176" s="10">
        <v>5000.0</v>
      </c>
    </row>
    <row r="177" ht="12.75" customHeight="1">
      <c r="A177" s="9" t="s">
        <v>773</v>
      </c>
      <c r="B177" s="9" t="s">
        <v>774</v>
      </c>
      <c r="C177" s="9" t="s">
        <v>775</v>
      </c>
      <c r="D177" s="9" t="s">
        <v>431</v>
      </c>
      <c r="E177" s="10">
        <v>10000.0</v>
      </c>
      <c r="G177" s="9">
        <v>6.6501658E7</v>
      </c>
      <c r="H177" s="9" t="s">
        <v>304</v>
      </c>
      <c r="I177" s="9" t="s">
        <v>4</v>
      </c>
      <c r="J177" s="9" t="s">
        <v>301</v>
      </c>
      <c r="K177" s="10">
        <v>4000.0</v>
      </c>
    </row>
    <row r="178" ht="12.75" customHeight="1">
      <c r="A178" s="17" t="s">
        <v>776</v>
      </c>
      <c r="B178" s="17" t="s">
        <v>722</v>
      </c>
      <c r="C178" s="17" t="s">
        <v>777</v>
      </c>
      <c r="D178" s="17" t="s">
        <v>431</v>
      </c>
      <c r="E178" s="18">
        <v>5000.0</v>
      </c>
      <c r="G178" s="9">
        <v>6.6502019E7</v>
      </c>
      <c r="H178" s="9" t="s">
        <v>299</v>
      </c>
      <c r="I178" s="9" t="s">
        <v>9</v>
      </c>
      <c r="J178" s="9" t="s">
        <v>301</v>
      </c>
      <c r="K178" s="10">
        <v>5000.0</v>
      </c>
    </row>
    <row r="179" ht="12.75" customHeight="1">
      <c r="A179" s="17" t="s">
        <v>778</v>
      </c>
      <c r="B179" s="17" t="s">
        <v>779</v>
      </c>
      <c r="C179" s="29">
        <v>6.6496182E7</v>
      </c>
      <c r="D179" s="17" t="s">
        <v>431</v>
      </c>
      <c r="E179" s="18">
        <v>5000.0</v>
      </c>
      <c r="G179" s="9">
        <v>6.6502025E7</v>
      </c>
      <c r="H179" s="9" t="s">
        <v>299</v>
      </c>
      <c r="I179" s="9" t="s">
        <v>3</v>
      </c>
      <c r="J179" s="9" t="s">
        <v>301</v>
      </c>
      <c r="K179" s="10">
        <v>1448.0</v>
      </c>
    </row>
    <row r="180" ht="12.75" customHeight="1">
      <c r="A180" s="17" t="s">
        <v>781</v>
      </c>
      <c r="B180" s="17" t="s">
        <v>725</v>
      </c>
      <c r="C180" s="17" t="s">
        <v>782</v>
      </c>
      <c r="D180" s="17" t="s">
        <v>431</v>
      </c>
      <c r="E180" s="18">
        <v>5000.0</v>
      </c>
      <c r="G180" s="9">
        <v>6.6502802E7</v>
      </c>
      <c r="H180" s="9" t="s">
        <v>308</v>
      </c>
      <c r="I180" s="9" t="s">
        <v>9</v>
      </c>
      <c r="J180" s="9" t="s">
        <v>310</v>
      </c>
      <c r="K180" s="10">
        <v>10000.0</v>
      </c>
    </row>
    <row r="181" ht="12.75" customHeight="1">
      <c r="A181" s="17" t="s">
        <v>781</v>
      </c>
      <c r="B181" s="17" t="s">
        <v>725</v>
      </c>
      <c r="C181" s="17" t="s">
        <v>783</v>
      </c>
      <c r="D181" s="17" t="s">
        <v>431</v>
      </c>
      <c r="E181" s="18">
        <v>5000.0</v>
      </c>
      <c r="G181" s="9">
        <v>6.6502807E7</v>
      </c>
      <c r="H181" s="9" t="s">
        <v>308</v>
      </c>
      <c r="I181" s="9" t="s">
        <v>8</v>
      </c>
      <c r="J181" s="9" t="s">
        <v>310</v>
      </c>
      <c r="K181" s="10">
        <v>64000.0</v>
      </c>
    </row>
    <row r="182" ht="12.75" customHeight="1">
      <c r="A182" s="9" t="s">
        <v>784</v>
      </c>
      <c r="B182" s="9" t="s">
        <v>785</v>
      </c>
      <c r="C182" s="9" t="s">
        <v>786</v>
      </c>
      <c r="D182" s="9" t="s">
        <v>429</v>
      </c>
      <c r="E182" s="10">
        <v>1200.0</v>
      </c>
      <c r="G182" s="9">
        <v>6.6503035E7</v>
      </c>
      <c r="H182" s="9" t="s">
        <v>312</v>
      </c>
      <c r="I182" s="9" t="s">
        <v>9</v>
      </c>
      <c r="J182" s="9" t="s">
        <v>310</v>
      </c>
      <c r="K182" s="10">
        <v>5000.0</v>
      </c>
    </row>
    <row r="183" ht="12.75" customHeight="1">
      <c r="A183" s="17" t="s">
        <v>784</v>
      </c>
      <c r="B183" s="17" t="s">
        <v>787</v>
      </c>
      <c r="C183" s="17" t="s">
        <v>788</v>
      </c>
      <c r="D183" s="17" t="s">
        <v>429</v>
      </c>
      <c r="E183" s="18">
        <v>34472.0</v>
      </c>
      <c r="G183" s="9">
        <v>6.6503049E7</v>
      </c>
      <c r="H183" s="9" t="s">
        <v>312</v>
      </c>
      <c r="I183" s="9" t="s">
        <v>8</v>
      </c>
      <c r="J183" s="9" t="s">
        <v>310</v>
      </c>
      <c r="K183" s="10">
        <v>62080.0</v>
      </c>
    </row>
    <row r="184" ht="12.75" customHeight="1">
      <c r="A184" s="17" t="s">
        <v>784</v>
      </c>
      <c r="B184" s="17" t="s">
        <v>789</v>
      </c>
      <c r="C184" s="17" t="s">
        <v>790</v>
      </c>
      <c r="D184" s="17" t="s">
        <v>429</v>
      </c>
      <c r="E184" s="18">
        <v>2240.0</v>
      </c>
      <c r="G184" s="9">
        <v>6.6503052E7</v>
      </c>
      <c r="H184" s="9" t="s">
        <v>315</v>
      </c>
      <c r="I184" s="9" t="s">
        <v>9</v>
      </c>
      <c r="J184" s="9" t="s">
        <v>310</v>
      </c>
      <c r="K184" s="10">
        <v>10000.0</v>
      </c>
    </row>
    <row r="185" ht="12.75" customHeight="1">
      <c r="A185" s="9" t="s">
        <v>784</v>
      </c>
      <c r="B185" s="9" t="s">
        <v>791</v>
      </c>
      <c r="C185" s="9" t="s">
        <v>792</v>
      </c>
      <c r="D185" s="9" t="s">
        <v>429</v>
      </c>
      <c r="E185" s="10">
        <v>54400.0</v>
      </c>
      <c r="G185" s="9">
        <v>6.6503108E7</v>
      </c>
      <c r="H185" s="9" t="s">
        <v>259</v>
      </c>
      <c r="I185" s="9" t="s">
        <v>9</v>
      </c>
      <c r="J185" s="9" t="s">
        <v>310</v>
      </c>
      <c r="K185" s="10">
        <v>5000.0</v>
      </c>
    </row>
    <row r="186" ht="12.75" customHeight="1">
      <c r="A186" s="17" t="s">
        <v>784</v>
      </c>
      <c r="B186" s="17" t="s">
        <v>791</v>
      </c>
      <c r="C186" s="17" t="s">
        <v>793</v>
      </c>
      <c r="D186" s="17" t="s">
        <v>429</v>
      </c>
      <c r="E186" s="18">
        <v>54500.0</v>
      </c>
      <c r="G186" s="9">
        <v>6.6503113E7</v>
      </c>
      <c r="H186" s="9" t="s">
        <v>318</v>
      </c>
      <c r="I186" s="9" t="s">
        <v>7</v>
      </c>
      <c r="J186" s="9" t="s">
        <v>310</v>
      </c>
      <c r="K186" s="10">
        <v>1000.0</v>
      </c>
    </row>
    <row r="187" ht="12.75" customHeight="1">
      <c r="A187" s="9" t="s">
        <v>784</v>
      </c>
      <c r="B187" s="9" t="s">
        <v>794</v>
      </c>
      <c r="C187" s="9" t="s">
        <v>795</v>
      </c>
      <c r="D187" s="9" t="s">
        <v>429</v>
      </c>
      <c r="E187" s="10">
        <v>1600.0</v>
      </c>
      <c r="G187" s="9">
        <v>6.6503131E7</v>
      </c>
      <c r="H187" s="9" t="s">
        <v>320</v>
      </c>
      <c r="I187" s="9" t="s">
        <v>7</v>
      </c>
      <c r="J187" s="9" t="s">
        <v>310</v>
      </c>
      <c r="K187" s="10">
        <v>30000.0</v>
      </c>
    </row>
    <row r="188" ht="12.75" customHeight="1">
      <c r="A188" s="17" t="s">
        <v>784</v>
      </c>
      <c r="B188" s="17" t="s">
        <v>397</v>
      </c>
      <c r="C188" s="17" t="s">
        <v>796</v>
      </c>
      <c r="D188" s="17" t="s">
        <v>429</v>
      </c>
      <c r="E188" s="18">
        <v>14000.0</v>
      </c>
      <c r="G188" s="9">
        <v>6.6504119E7</v>
      </c>
      <c r="H188" s="9" t="s">
        <v>322</v>
      </c>
      <c r="I188" s="9" t="s">
        <v>9</v>
      </c>
      <c r="J188" s="9" t="s">
        <v>324</v>
      </c>
      <c r="K188" s="10">
        <v>5000.0</v>
      </c>
    </row>
    <row r="189" ht="12.75" customHeight="1">
      <c r="A189" s="9" t="s">
        <v>784</v>
      </c>
      <c r="B189" s="9" t="s">
        <v>797</v>
      </c>
      <c r="C189" s="9" t="s">
        <v>798</v>
      </c>
      <c r="D189" s="9" t="s">
        <v>429</v>
      </c>
      <c r="E189" s="10">
        <v>1000.0</v>
      </c>
      <c r="G189" s="9">
        <v>6.6504128E7</v>
      </c>
      <c r="H189" s="9" t="s">
        <v>322</v>
      </c>
      <c r="I189" s="9" t="s">
        <v>4</v>
      </c>
      <c r="J189" s="9" t="s">
        <v>324</v>
      </c>
      <c r="K189" s="10">
        <v>1600.0</v>
      </c>
    </row>
    <row r="190" ht="12.75" customHeight="1">
      <c r="A190" s="17" t="s">
        <v>784</v>
      </c>
      <c r="B190" s="17" t="s">
        <v>275</v>
      </c>
      <c r="C190" s="17" t="s">
        <v>799</v>
      </c>
      <c r="D190" s="17" t="s">
        <v>429</v>
      </c>
      <c r="E190" s="18">
        <v>7000.0</v>
      </c>
      <c r="G190" s="9">
        <v>6.6504513E7</v>
      </c>
      <c r="H190" s="9" t="s">
        <v>326</v>
      </c>
      <c r="I190" s="9" t="s">
        <v>9</v>
      </c>
      <c r="J190" s="9" t="s">
        <v>324</v>
      </c>
      <c r="K190" s="10">
        <v>5000.0</v>
      </c>
    </row>
    <row r="191" ht="12.75" customHeight="1">
      <c r="A191" s="9" t="s">
        <v>784</v>
      </c>
      <c r="B191" s="9" t="s">
        <v>275</v>
      </c>
      <c r="C191" s="9" t="s">
        <v>800</v>
      </c>
      <c r="D191" s="9" t="s">
        <v>429</v>
      </c>
      <c r="E191" s="10">
        <v>6000.0</v>
      </c>
      <c r="G191" s="9">
        <v>6.650452E7</v>
      </c>
      <c r="H191" s="9" t="s">
        <v>326</v>
      </c>
      <c r="I191" s="9" t="s">
        <v>7</v>
      </c>
      <c r="J191" s="9" t="s">
        <v>324</v>
      </c>
      <c r="K191" s="10">
        <v>28000.0</v>
      </c>
    </row>
    <row r="192" ht="12.75" customHeight="1">
      <c r="A192" s="17" t="s">
        <v>784</v>
      </c>
      <c r="B192" s="17" t="s">
        <v>36</v>
      </c>
      <c r="C192" s="17" t="s">
        <v>801</v>
      </c>
      <c r="D192" s="17" t="s">
        <v>429</v>
      </c>
      <c r="E192" s="18">
        <v>10496.0</v>
      </c>
      <c r="G192" s="25">
        <v>6.6505534E7</v>
      </c>
      <c r="H192" s="25" t="s">
        <v>45</v>
      </c>
      <c r="I192" s="25" t="s">
        <v>9</v>
      </c>
      <c r="J192" s="25" t="s">
        <v>330</v>
      </c>
      <c r="K192" s="26">
        <v>5000.0</v>
      </c>
    </row>
    <row r="193" ht="12.75" customHeight="1">
      <c r="A193" s="9" t="s">
        <v>784</v>
      </c>
      <c r="B193" s="9" t="s">
        <v>802</v>
      </c>
      <c r="C193" s="9" t="s">
        <v>803</v>
      </c>
      <c r="D193" s="9" t="s">
        <v>429</v>
      </c>
      <c r="E193" s="10">
        <v>10752.0</v>
      </c>
      <c r="G193" s="9">
        <v>6.6505539E7</v>
      </c>
      <c r="H193" s="9" t="s">
        <v>45</v>
      </c>
      <c r="I193" s="9" t="s">
        <v>3</v>
      </c>
      <c r="J193" s="9" t="s">
        <v>330</v>
      </c>
      <c r="K193" s="10">
        <v>2518.0</v>
      </c>
    </row>
    <row r="194" ht="12.75" customHeight="1">
      <c r="A194" s="9" t="s">
        <v>804</v>
      </c>
      <c r="B194" s="9" t="s">
        <v>725</v>
      </c>
      <c r="C194" s="9" t="s">
        <v>805</v>
      </c>
      <c r="D194" s="9" t="s">
        <v>431</v>
      </c>
      <c r="E194" s="10">
        <v>5000.0</v>
      </c>
      <c r="G194" s="25">
        <v>6.6505573E7</v>
      </c>
      <c r="H194" s="25" t="s">
        <v>332</v>
      </c>
      <c r="I194" s="25" t="s">
        <v>9</v>
      </c>
      <c r="J194" s="25" t="s">
        <v>330</v>
      </c>
      <c r="K194" s="26">
        <v>5000.0</v>
      </c>
    </row>
    <row r="195" ht="12.75" customHeight="1">
      <c r="A195" s="9" t="s">
        <v>806</v>
      </c>
      <c r="B195" s="9" t="s">
        <v>807</v>
      </c>
      <c r="C195" s="9" t="s">
        <v>808</v>
      </c>
      <c r="D195" s="9" t="s">
        <v>431</v>
      </c>
      <c r="E195" s="10">
        <v>5000.0</v>
      </c>
      <c r="G195" s="9">
        <v>6.6505576E7</v>
      </c>
      <c r="H195" s="9" t="s">
        <v>332</v>
      </c>
      <c r="I195" s="9" t="s">
        <v>3</v>
      </c>
      <c r="J195" s="9" t="s">
        <v>330</v>
      </c>
      <c r="K195" s="10">
        <v>5100.0</v>
      </c>
    </row>
    <row r="196" ht="12.75" customHeight="1">
      <c r="A196" s="17" t="s">
        <v>809</v>
      </c>
      <c r="B196" s="17" t="s">
        <v>810</v>
      </c>
      <c r="C196" s="17" t="s">
        <v>811</v>
      </c>
      <c r="D196" s="17" t="s">
        <v>431</v>
      </c>
      <c r="E196" s="18">
        <v>5000.0</v>
      </c>
      <c r="G196" s="24">
        <v>6.6505833E7</v>
      </c>
      <c r="H196" s="9" t="s">
        <v>229</v>
      </c>
      <c r="I196" s="9" t="s">
        <v>10</v>
      </c>
      <c r="J196" s="9" t="s">
        <v>330</v>
      </c>
      <c r="K196" s="23">
        <v>210000.0</v>
      </c>
    </row>
    <row r="197" ht="12.75" customHeight="1">
      <c r="A197" s="9" t="s">
        <v>812</v>
      </c>
      <c r="B197" s="9" t="s">
        <v>578</v>
      </c>
      <c r="C197" s="9" t="s">
        <v>813</v>
      </c>
      <c r="D197" s="9" t="s">
        <v>431</v>
      </c>
      <c r="E197" s="10">
        <v>5000.0</v>
      </c>
      <c r="G197" s="24">
        <v>6.6505838E7</v>
      </c>
      <c r="H197" s="9" t="s">
        <v>229</v>
      </c>
      <c r="I197" s="9" t="s">
        <v>2</v>
      </c>
      <c r="J197" s="9" t="s">
        <v>330</v>
      </c>
      <c r="K197" s="23">
        <v>56000.0</v>
      </c>
    </row>
    <row r="198" ht="12.75" customHeight="1">
      <c r="A198" s="9" t="s">
        <v>814</v>
      </c>
      <c r="B198" s="9" t="s">
        <v>578</v>
      </c>
      <c r="C198" s="9" t="s">
        <v>815</v>
      </c>
      <c r="D198" s="9" t="s">
        <v>431</v>
      </c>
      <c r="E198" s="10">
        <v>5000.0</v>
      </c>
      <c r="G198" s="28">
        <v>6.6506683E7</v>
      </c>
      <c r="H198" s="9" t="s">
        <v>337</v>
      </c>
      <c r="I198" s="9" t="s">
        <v>9</v>
      </c>
      <c r="J198" s="9" t="s">
        <v>339</v>
      </c>
      <c r="K198" s="10">
        <v>5000.0</v>
      </c>
    </row>
    <row r="199" ht="12.75" customHeight="1">
      <c r="A199" s="17" t="s">
        <v>816</v>
      </c>
      <c r="B199" s="17" t="s">
        <v>547</v>
      </c>
      <c r="C199" s="17" t="s">
        <v>817</v>
      </c>
      <c r="D199" s="17" t="s">
        <v>429</v>
      </c>
      <c r="E199" s="18">
        <v>7000.0</v>
      </c>
      <c r="G199" s="9">
        <v>6.6506693E7</v>
      </c>
      <c r="H199" s="9" t="s">
        <v>340</v>
      </c>
      <c r="I199" s="9" t="s">
        <v>7</v>
      </c>
      <c r="J199" s="9" t="s">
        <v>339</v>
      </c>
      <c r="K199" s="10">
        <v>1200.0</v>
      </c>
    </row>
    <row r="200" ht="12.75" customHeight="1">
      <c r="A200" s="9" t="s">
        <v>816</v>
      </c>
      <c r="B200" s="9" t="s">
        <v>691</v>
      </c>
      <c r="C200" s="9" t="s">
        <v>818</v>
      </c>
      <c r="D200" s="9" t="s">
        <v>429</v>
      </c>
      <c r="E200" s="10">
        <v>1600.0</v>
      </c>
      <c r="G200" s="9">
        <v>6.6506723E7</v>
      </c>
      <c r="H200" s="9" t="s">
        <v>342</v>
      </c>
      <c r="I200" s="9" t="s">
        <v>9</v>
      </c>
      <c r="J200" s="9" t="s">
        <v>339</v>
      </c>
      <c r="K200" s="10">
        <v>5000.0</v>
      </c>
    </row>
    <row r="201" ht="12.75" customHeight="1">
      <c r="A201" s="17" t="s">
        <v>816</v>
      </c>
      <c r="B201" s="17" t="s">
        <v>465</v>
      </c>
      <c r="C201" s="17" t="s">
        <v>819</v>
      </c>
      <c r="D201" s="17" t="s">
        <v>429</v>
      </c>
      <c r="E201" s="18">
        <v>56000.0</v>
      </c>
      <c r="G201" s="9">
        <v>6.6507193E7</v>
      </c>
      <c r="H201" s="9" t="s">
        <v>344</v>
      </c>
      <c r="I201" s="9" t="s">
        <v>9</v>
      </c>
      <c r="J201" s="9" t="s">
        <v>339</v>
      </c>
      <c r="K201" s="10">
        <v>10000.0</v>
      </c>
    </row>
    <row r="202" ht="12.75" customHeight="1">
      <c r="A202" s="9" t="s">
        <v>816</v>
      </c>
      <c r="B202" s="9" t="s">
        <v>802</v>
      </c>
      <c r="C202" s="9" t="s">
        <v>820</v>
      </c>
      <c r="D202" s="9" t="s">
        <v>429</v>
      </c>
      <c r="E202" s="10">
        <v>10752.0</v>
      </c>
      <c r="G202" s="9">
        <v>6.6507207E7</v>
      </c>
      <c r="H202" s="9" t="s">
        <v>344</v>
      </c>
      <c r="I202" s="9" t="s">
        <v>7</v>
      </c>
      <c r="J202" s="9" t="s">
        <v>339</v>
      </c>
      <c r="K202" s="10">
        <v>12000.0</v>
      </c>
    </row>
    <row r="203" ht="12.75" customHeight="1">
      <c r="A203" s="17" t="s">
        <v>821</v>
      </c>
      <c r="B203" s="17" t="s">
        <v>822</v>
      </c>
      <c r="C203" s="17" t="s">
        <v>823</v>
      </c>
      <c r="D203" s="17" t="s">
        <v>431</v>
      </c>
      <c r="E203" s="18">
        <v>15000.0</v>
      </c>
      <c r="G203" s="9">
        <v>6.6507212E7</v>
      </c>
      <c r="H203" s="9" t="s">
        <v>344</v>
      </c>
      <c r="I203" s="9" t="s">
        <v>7</v>
      </c>
      <c r="J203" s="9" t="s">
        <v>339</v>
      </c>
      <c r="K203" s="10">
        <v>24000.0</v>
      </c>
    </row>
    <row r="204" ht="12.75" customHeight="1">
      <c r="A204" s="9" t="s">
        <v>824</v>
      </c>
      <c r="B204" s="9" t="s">
        <v>825</v>
      </c>
      <c r="C204" s="9" t="s">
        <v>826</v>
      </c>
      <c r="D204" s="9" t="s">
        <v>431</v>
      </c>
      <c r="E204" s="10">
        <v>15000.0</v>
      </c>
      <c r="G204" s="9">
        <v>6.6508626E7</v>
      </c>
      <c r="H204" s="9" t="s">
        <v>201</v>
      </c>
      <c r="I204" s="9" t="s">
        <v>9</v>
      </c>
      <c r="J204" s="9" t="s">
        <v>349</v>
      </c>
      <c r="K204" s="10">
        <v>5000.0</v>
      </c>
    </row>
    <row r="205" ht="12.75" customHeight="1">
      <c r="A205" s="9" t="s">
        <v>827</v>
      </c>
      <c r="B205" s="9" t="s">
        <v>828</v>
      </c>
      <c r="C205" s="9" t="s">
        <v>829</v>
      </c>
      <c r="D205" s="9" t="s">
        <v>431</v>
      </c>
      <c r="E205" s="10">
        <v>35000.0</v>
      </c>
      <c r="G205" s="9">
        <v>6.650863E7</v>
      </c>
      <c r="H205" s="9" t="s">
        <v>201</v>
      </c>
      <c r="I205" s="9" t="s">
        <v>4</v>
      </c>
      <c r="J205" s="9" t="s">
        <v>349</v>
      </c>
      <c r="K205" s="10">
        <v>14000.0</v>
      </c>
    </row>
    <row r="206" ht="12.75" customHeight="1">
      <c r="A206" s="17" t="s">
        <v>830</v>
      </c>
      <c r="B206" s="17" t="s">
        <v>831</v>
      </c>
      <c r="C206" s="17" t="s">
        <v>832</v>
      </c>
      <c r="D206" s="17" t="s">
        <v>431</v>
      </c>
      <c r="E206" s="18">
        <v>10000.0</v>
      </c>
      <c r="G206" s="9">
        <v>6.6508787E7</v>
      </c>
      <c r="H206" s="9" t="s">
        <v>201</v>
      </c>
      <c r="I206" s="9" t="s">
        <v>9</v>
      </c>
      <c r="J206" s="9" t="s">
        <v>349</v>
      </c>
      <c r="K206" s="10">
        <v>5000.0</v>
      </c>
    </row>
    <row r="207" ht="12.75" customHeight="1">
      <c r="A207" s="17" t="s">
        <v>833</v>
      </c>
      <c r="B207" s="17" t="s">
        <v>765</v>
      </c>
      <c r="C207" s="17" t="s">
        <v>834</v>
      </c>
      <c r="D207" s="17" t="s">
        <v>429</v>
      </c>
      <c r="E207" s="18">
        <v>2500.0</v>
      </c>
      <c r="G207" s="9">
        <v>6.6508789E7</v>
      </c>
      <c r="H207" s="9" t="s">
        <v>201</v>
      </c>
      <c r="I207" s="9" t="s">
        <v>4</v>
      </c>
      <c r="J207" s="9" t="s">
        <v>349</v>
      </c>
      <c r="K207" s="10">
        <v>14000.0</v>
      </c>
    </row>
    <row r="208" ht="12.75" customHeight="1">
      <c r="A208" s="9" t="s">
        <v>833</v>
      </c>
      <c r="B208" s="9" t="s">
        <v>691</v>
      </c>
      <c r="C208" s="9" t="s">
        <v>835</v>
      </c>
      <c r="D208" s="9" t="s">
        <v>429</v>
      </c>
      <c r="E208" s="10">
        <v>1768.0</v>
      </c>
      <c r="G208" s="9">
        <v>6.6509009E7</v>
      </c>
      <c r="H208" s="9" t="s">
        <v>201</v>
      </c>
      <c r="I208" s="9" t="s">
        <v>9</v>
      </c>
      <c r="J208" s="9" t="s">
        <v>349</v>
      </c>
      <c r="K208" s="10">
        <v>5000.0</v>
      </c>
    </row>
    <row r="209" ht="12.75" customHeight="1">
      <c r="A209" s="17" t="s">
        <v>833</v>
      </c>
      <c r="B209" s="17" t="s">
        <v>537</v>
      </c>
      <c r="C209" s="17" t="s">
        <v>836</v>
      </c>
      <c r="D209" s="17" t="s">
        <v>429</v>
      </c>
      <c r="E209" s="18">
        <v>5100.0</v>
      </c>
      <c r="G209" s="9">
        <v>6.6509013E7</v>
      </c>
      <c r="H209" s="9" t="s">
        <v>201</v>
      </c>
      <c r="I209" s="9" t="s">
        <v>4</v>
      </c>
      <c r="J209" s="9" t="s">
        <v>349</v>
      </c>
      <c r="K209" s="10">
        <v>14000.0</v>
      </c>
    </row>
    <row r="210" ht="12.75" customHeight="1">
      <c r="A210" s="17" t="s">
        <v>833</v>
      </c>
      <c r="B210" s="17" t="s">
        <v>471</v>
      </c>
      <c r="C210" s="17" t="s">
        <v>837</v>
      </c>
      <c r="D210" s="17" t="s">
        <v>429</v>
      </c>
      <c r="E210" s="18">
        <v>13600.0</v>
      </c>
      <c r="G210" s="9">
        <v>6.6509438E7</v>
      </c>
      <c r="H210" s="9" t="s">
        <v>205</v>
      </c>
      <c r="I210" s="9" t="s">
        <v>9</v>
      </c>
      <c r="J210" s="9" t="s">
        <v>356</v>
      </c>
      <c r="K210" s="10">
        <v>5000.0</v>
      </c>
    </row>
    <row r="211" ht="12.75" customHeight="1">
      <c r="A211" s="9" t="s">
        <v>833</v>
      </c>
      <c r="B211" s="9" t="s">
        <v>293</v>
      </c>
      <c r="C211" s="9" t="s">
        <v>838</v>
      </c>
      <c r="D211" s="9" t="s">
        <v>429</v>
      </c>
      <c r="E211" s="10">
        <v>63000.0</v>
      </c>
      <c r="G211" s="9">
        <v>6.6509442E7</v>
      </c>
      <c r="H211" s="9" t="s">
        <v>205</v>
      </c>
      <c r="I211" s="9" t="s">
        <v>4</v>
      </c>
      <c r="J211" s="9" t="s">
        <v>356</v>
      </c>
      <c r="K211" s="10">
        <v>14000.0</v>
      </c>
    </row>
    <row r="212" ht="12.75" customHeight="1">
      <c r="A212" s="17" t="s">
        <v>833</v>
      </c>
      <c r="B212" s="17" t="s">
        <v>471</v>
      </c>
      <c r="C212" s="17" t="s">
        <v>839</v>
      </c>
      <c r="D212" s="17" t="s">
        <v>429</v>
      </c>
      <c r="E212" s="18">
        <v>3431.0</v>
      </c>
      <c r="G212" s="9">
        <v>6.6509458E7</v>
      </c>
      <c r="H212" s="9" t="s">
        <v>211</v>
      </c>
      <c r="I212" s="9" t="s">
        <v>9</v>
      </c>
      <c r="J212" s="9" t="s">
        <v>356</v>
      </c>
      <c r="K212" s="10">
        <v>5000.0</v>
      </c>
    </row>
    <row r="213" ht="12.75" customHeight="1">
      <c r="A213" s="17" t="s">
        <v>840</v>
      </c>
      <c r="B213" s="17" t="s">
        <v>457</v>
      </c>
      <c r="C213" s="17" t="s">
        <v>841</v>
      </c>
      <c r="D213" s="17" t="s">
        <v>431</v>
      </c>
      <c r="E213" s="18">
        <v>5000.0</v>
      </c>
      <c r="G213" s="9">
        <v>6.6509465E7</v>
      </c>
      <c r="H213" s="9" t="s">
        <v>211</v>
      </c>
      <c r="I213" s="9" t="s">
        <v>4</v>
      </c>
      <c r="J213" s="9" t="s">
        <v>356</v>
      </c>
      <c r="K213" s="10">
        <v>7000.0</v>
      </c>
    </row>
    <row r="214" ht="12.75" customHeight="1">
      <c r="A214" s="17" t="s">
        <v>842</v>
      </c>
      <c r="B214" s="17" t="s">
        <v>843</v>
      </c>
      <c r="C214" s="17" t="s">
        <v>844</v>
      </c>
      <c r="D214" s="17" t="s">
        <v>431</v>
      </c>
      <c r="E214" s="18">
        <v>10000.0</v>
      </c>
      <c r="G214" s="9">
        <v>6.6509678E7</v>
      </c>
      <c r="H214" s="9" t="s">
        <v>360</v>
      </c>
      <c r="I214" s="9" t="s">
        <v>9</v>
      </c>
      <c r="J214" s="9" t="s">
        <v>356</v>
      </c>
      <c r="K214" s="10">
        <v>5000.0</v>
      </c>
    </row>
    <row r="215" ht="12.75" customHeight="1">
      <c r="A215" s="9" t="s">
        <v>845</v>
      </c>
      <c r="B215" s="9" t="s">
        <v>846</v>
      </c>
      <c r="C215" s="9" t="s">
        <v>847</v>
      </c>
      <c r="D215" s="9" t="s">
        <v>431</v>
      </c>
      <c r="E215" s="10">
        <v>5000.0</v>
      </c>
      <c r="G215" s="9">
        <v>6.650968E7</v>
      </c>
      <c r="H215" s="9" t="s">
        <v>275</v>
      </c>
      <c r="I215" s="9" t="s">
        <v>4</v>
      </c>
      <c r="J215" s="9" t="s">
        <v>356</v>
      </c>
      <c r="K215" s="10">
        <v>14000.0</v>
      </c>
    </row>
    <row r="216" ht="12.75" customHeight="1">
      <c r="A216" s="9" t="s">
        <v>848</v>
      </c>
      <c r="B216" s="9" t="s">
        <v>691</v>
      </c>
      <c r="C216" s="9" t="s">
        <v>849</v>
      </c>
      <c r="D216" s="9" t="s">
        <v>429</v>
      </c>
      <c r="E216" s="10">
        <v>1144.0</v>
      </c>
      <c r="G216" s="9">
        <v>6.6509713E7</v>
      </c>
      <c r="H216" s="9" t="s">
        <v>273</v>
      </c>
      <c r="I216" s="9" t="s">
        <v>9</v>
      </c>
      <c r="J216" s="9" t="s">
        <v>356</v>
      </c>
      <c r="K216" s="10">
        <v>5000.0</v>
      </c>
    </row>
    <row r="217" ht="12.75" customHeight="1">
      <c r="A217" s="17" t="s">
        <v>848</v>
      </c>
      <c r="B217" s="17" t="s">
        <v>850</v>
      </c>
      <c r="C217" s="17" t="s">
        <v>851</v>
      </c>
      <c r="D217" s="17" t="s">
        <v>429</v>
      </c>
      <c r="E217" s="18">
        <v>8650.0</v>
      </c>
      <c r="G217" s="9">
        <v>6.6509721E7</v>
      </c>
      <c r="H217" s="9" t="s">
        <v>275</v>
      </c>
      <c r="I217" s="9" t="s">
        <v>4</v>
      </c>
      <c r="J217" s="9" t="s">
        <v>356</v>
      </c>
      <c r="K217" s="10">
        <v>6000.0</v>
      </c>
    </row>
    <row r="218" ht="12.75" customHeight="1">
      <c r="A218" s="9" t="s">
        <v>848</v>
      </c>
      <c r="B218" s="9" t="s">
        <v>304</v>
      </c>
      <c r="C218" s="9" t="s">
        <v>852</v>
      </c>
      <c r="D218" s="9" t="s">
        <v>429</v>
      </c>
      <c r="E218" s="10">
        <v>1448.0</v>
      </c>
      <c r="G218" s="24">
        <v>6.6509749E7</v>
      </c>
      <c r="H218" s="9" t="s">
        <v>365</v>
      </c>
      <c r="I218" s="9" t="s">
        <v>10</v>
      </c>
      <c r="J218" s="9" t="s">
        <v>356</v>
      </c>
      <c r="K218" s="23">
        <v>210000.0</v>
      </c>
    </row>
    <row r="219" ht="12.75" customHeight="1">
      <c r="A219" s="17" t="s">
        <v>848</v>
      </c>
      <c r="B219" s="17" t="s">
        <v>304</v>
      </c>
      <c r="C219" s="17" t="s">
        <v>853</v>
      </c>
      <c r="D219" s="17" t="s">
        <v>429</v>
      </c>
      <c r="E219" s="18">
        <v>4000.0</v>
      </c>
      <c r="G219" s="24">
        <v>6.6509752E7</v>
      </c>
      <c r="H219" s="9" t="s">
        <v>365</v>
      </c>
      <c r="I219" s="9" t="s">
        <v>2</v>
      </c>
      <c r="J219" s="9" t="s">
        <v>356</v>
      </c>
      <c r="K219" s="23">
        <v>336000.0</v>
      </c>
    </row>
    <row r="220" ht="12.75" customHeight="1">
      <c r="A220" s="9" t="s">
        <v>854</v>
      </c>
      <c r="B220" s="9" t="s">
        <v>855</v>
      </c>
      <c r="C220" s="9" t="s">
        <v>856</v>
      </c>
      <c r="D220" s="9" t="s">
        <v>431</v>
      </c>
      <c r="E220" s="10">
        <v>5000.0</v>
      </c>
      <c r="G220" s="9">
        <v>6.6509784E7</v>
      </c>
      <c r="H220" s="9" t="s">
        <v>368</v>
      </c>
      <c r="I220" s="9" t="s">
        <v>9</v>
      </c>
      <c r="J220" s="9" t="s">
        <v>356</v>
      </c>
      <c r="K220" s="10">
        <v>5000.0</v>
      </c>
    </row>
    <row r="221" ht="12.75" customHeight="1">
      <c r="A221" s="17" t="s">
        <v>857</v>
      </c>
      <c r="B221" s="17" t="s">
        <v>858</v>
      </c>
      <c r="C221" s="17" t="s">
        <v>859</v>
      </c>
      <c r="D221" s="17" t="s">
        <v>431</v>
      </c>
      <c r="E221" s="18">
        <v>5000.0</v>
      </c>
      <c r="G221" s="9">
        <v>6.6509792E7</v>
      </c>
      <c r="H221" s="9" t="s">
        <v>73</v>
      </c>
      <c r="I221" s="9" t="s">
        <v>3</v>
      </c>
      <c r="J221" s="9" t="s">
        <v>356</v>
      </c>
      <c r="K221" s="10">
        <v>7200.0</v>
      </c>
    </row>
    <row r="222" ht="12.75" customHeight="1">
      <c r="A222" s="9" t="s">
        <v>860</v>
      </c>
      <c r="B222" s="9" t="s">
        <v>855</v>
      </c>
      <c r="C222" s="9" t="s">
        <v>861</v>
      </c>
      <c r="D222" s="9" t="s">
        <v>431</v>
      </c>
      <c r="E222" s="10">
        <v>5000.0</v>
      </c>
      <c r="G222" s="9">
        <v>6.6510023E7</v>
      </c>
      <c r="H222" s="9" t="s">
        <v>371</v>
      </c>
      <c r="I222" s="9" t="s">
        <v>9</v>
      </c>
      <c r="J222" s="9" t="s">
        <v>356</v>
      </c>
      <c r="K222" s="10">
        <v>30000.0</v>
      </c>
    </row>
    <row r="223" ht="12.75" customHeight="1">
      <c r="A223" s="9" t="s">
        <v>862</v>
      </c>
      <c r="B223" s="9" t="s">
        <v>863</v>
      </c>
      <c r="C223" s="9" t="s">
        <v>864</v>
      </c>
      <c r="D223" s="9" t="s">
        <v>429</v>
      </c>
      <c r="E223" s="10">
        <v>64000.0</v>
      </c>
      <c r="G223" s="9">
        <v>6.6510077E7</v>
      </c>
      <c r="H223" s="9" t="s">
        <v>373</v>
      </c>
      <c r="I223" s="9" t="s">
        <v>9</v>
      </c>
      <c r="J223" s="9" t="s">
        <v>356</v>
      </c>
      <c r="K223" s="10">
        <v>35000.0</v>
      </c>
    </row>
    <row r="224" ht="12.75" customHeight="1">
      <c r="A224" s="17" t="s">
        <v>862</v>
      </c>
      <c r="B224" s="17" t="s">
        <v>865</v>
      </c>
      <c r="C224" s="17" t="s">
        <v>866</v>
      </c>
      <c r="D224" s="17" t="s">
        <v>429</v>
      </c>
      <c r="E224" s="18">
        <v>6102.0</v>
      </c>
      <c r="G224" s="9">
        <v>6.6510082E7</v>
      </c>
      <c r="H224" s="9" t="s">
        <v>375</v>
      </c>
      <c r="I224" s="9" t="s">
        <v>7</v>
      </c>
      <c r="J224" s="9" t="s">
        <v>356</v>
      </c>
      <c r="K224" s="10">
        <v>33600.0</v>
      </c>
    </row>
    <row r="225" ht="12.75" customHeight="1">
      <c r="A225" s="9" t="s">
        <v>862</v>
      </c>
      <c r="B225" s="9" t="s">
        <v>397</v>
      </c>
      <c r="C225" s="9" t="s">
        <v>867</v>
      </c>
      <c r="D225" s="9" t="s">
        <v>429</v>
      </c>
      <c r="E225" s="10">
        <v>2000.0</v>
      </c>
      <c r="G225" s="9">
        <v>6.6510197E7</v>
      </c>
      <c r="H225" s="9" t="s">
        <v>377</v>
      </c>
      <c r="I225" s="9" t="s">
        <v>9</v>
      </c>
      <c r="J225" s="9" t="s">
        <v>356</v>
      </c>
      <c r="K225" s="10">
        <v>5000.0</v>
      </c>
    </row>
    <row r="226" ht="12.75" customHeight="1">
      <c r="A226" s="17" t="s">
        <v>862</v>
      </c>
      <c r="B226" s="17" t="s">
        <v>397</v>
      </c>
      <c r="C226" s="17" t="s">
        <v>868</v>
      </c>
      <c r="D226" s="17" t="s">
        <v>429</v>
      </c>
      <c r="E226" s="18">
        <v>2000.0</v>
      </c>
      <c r="G226" s="9">
        <v>6.6510203E7</v>
      </c>
      <c r="H226" s="9" t="s">
        <v>379</v>
      </c>
      <c r="I226" s="9" t="s">
        <v>4</v>
      </c>
      <c r="J226" s="9" t="s">
        <v>356</v>
      </c>
      <c r="K226" s="10">
        <v>14000.0</v>
      </c>
    </row>
    <row r="227" ht="12.75" customHeight="1">
      <c r="A227" s="9" t="s">
        <v>862</v>
      </c>
      <c r="B227" s="9" t="s">
        <v>397</v>
      </c>
      <c r="C227" s="9" t="s">
        <v>869</v>
      </c>
      <c r="D227" s="9" t="s">
        <v>429</v>
      </c>
      <c r="E227" s="10">
        <v>27000.0</v>
      </c>
      <c r="G227" s="9">
        <v>6.651022E7</v>
      </c>
      <c r="H227" s="9" t="s">
        <v>128</v>
      </c>
      <c r="I227" s="9" t="s">
        <v>9</v>
      </c>
      <c r="J227" s="9" t="s">
        <v>356</v>
      </c>
      <c r="K227" s="10">
        <v>15000.0</v>
      </c>
    </row>
    <row r="228" ht="12.75" customHeight="1">
      <c r="A228" s="9" t="s">
        <v>862</v>
      </c>
      <c r="B228" s="9" t="s">
        <v>293</v>
      </c>
      <c r="C228" s="9" t="s">
        <v>870</v>
      </c>
      <c r="D228" s="9" t="s">
        <v>429</v>
      </c>
      <c r="E228" s="10">
        <v>62080.0</v>
      </c>
      <c r="G228" s="9">
        <v>6.6510271E7</v>
      </c>
      <c r="H228" s="9" t="s">
        <v>382</v>
      </c>
      <c r="I228" s="9" t="s">
        <v>4</v>
      </c>
      <c r="J228" s="9" t="s">
        <v>356</v>
      </c>
      <c r="K228" s="10">
        <v>14000.0</v>
      </c>
    </row>
    <row r="229" ht="12.75" customHeight="1">
      <c r="A229" s="17" t="s">
        <v>862</v>
      </c>
      <c r="B229" s="17" t="s">
        <v>871</v>
      </c>
      <c r="C229" s="17" t="s">
        <v>872</v>
      </c>
      <c r="D229" s="17" t="s">
        <v>429</v>
      </c>
      <c r="E229" s="18">
        <v>1000.0</v>
      </c>
      <c r="G229" s="9">
        <v>6.6510272E7</v>
      </c>
      <c r="H229" s="9" t="s">
        <v>382</v>
      </c>
      <c r="I229" s="9" t="s">
        <v>9</v>
      </c>
      <c r="J229" s="9" t="s">
        <v>356</v>
      </c>
      <c r="K229" s="10">
        <v>5000.0</v>
      </c>
    </row>
    <row r="230" ht="12.75" customHeight="1">
      <c r="A230" s="17" t="s">
        <v>862</v>
      </c>
      <c r="B230" s="17" t="s">
        <v>873</v>
      </c>
      <c r="C230" s="17" t="s">
        <v>874</v>
      </c>
      <c r="D230" s="17" t="s">
        <v>429</v>
      </c>
      <c r="E230" s="18">
        <v>30000.0</v>
      </c>
      <c r="G230" s="9">
        <v>6.6510692E7</v>
      </c>
      <c r="H230" s="9" t="s">
        <v>211</v>
      </c>
      <c r="I230" s="9" t="s">
        <v>9</v>
      </c>
      <c r="J230" s="9" t="s">
        <v>386</v>
      </c>
      <c r="K230" s="10">
        <v>5000.0</v>
      </c>
    </row>
    <row r="231" ht="12.75" customHeight="1">
      <c r="A231" s="17" t="s">
        <v>875</v>
      </c>
      <c r="B231" s="17" t="s">
        <v>876</v>
      </c>
      <c r="C231" s="17" t="s">
        <v>877</v>
      </c>
      <c r="D231" s="17" t="s">
        <v>431</v>
      </c>
      <c r="E231" s="18">
        <v>10000.0</v>
      </c>
      <c r="G231" s="9">
        <v>6.6510701E7</v>
      </c>
      <c r="H231" s="9" t="s">
        <v>211</v>
      </c>
      <c r="I231" s="9" t="s">
        <v>4</v>
      </c>
      <c r="J231" s="9" t="s">
        <v>386</v>
      </c>
      <c r="K231" s="10">
        <v>7000.0</v>
      </c>
    </row>
    <row r="232" ht="12.75" customHeight="1">
      <c r="A232" s="17" t="s">
        <v>878</v>
      </c>
      <c r="B232" s="17" t="s">
        <v>608</v>
      </c>
      <c r="C232" s="17" t="s">
        <v>879</v>
      </c>
      <c r="D232" s="17" t="s">
        <v>431</v>
      </c>
      <c r="E232" s="18">
        <v>5000.0</v>
      </c>
      <c r="G232" s="9">
        <v>6.6510731E7</v>
      </c>
      <c r="H232" s="9" t="s">
        <v>201</v>
      </c>
      <c r="I232" s="9" t="s">
        <v>9</v>
      </c>
      <c r="J232" s="9" t="s">
        <v>386</v>
      </c>
      <c r="K232" s="10">
        <v>5000.0</v>
      </c>
    </row>
    <row r="233" ht="12.75" customHeight="1">
      <c r="A233" s="9" t="s">
        <v>880</v>
      </c>
      <c r="B233" s="9" t="s">
        <v>779</v>
      </c>
      <c r="C233" s="9" t="s">
        <v>881</v>
      </c>
      <c r="D233" s="9" t="s">
        <v>431</v>
      </c>
      <c r="E233" s="10">
        <v>5000.0</v>
      </c>
      <c r="G233" s="9">
        <v>6.6510736E7</v>
      </c>
      <c r="H233" s="9" t="s">
        <v>201</v>
      </c>
      <c r="I233" s="9" t="s">
        <v>4</v>
      </c>
      <c r="J233" s="9" t="s">
        <v>386</v>
      </c>
      <c r="K233" s="10">
        <v>14000.0</v>
      </c>
    </row>
    <row r="234" ht="12.75" customHeight="1">
      <c r="A234" s="9" t="s">
        <v>880</v>
      </c>
      <c r="B234" s="9" t="s">
        <v>882</v>
      </c>
      <c r="C234" s="9" t="s">
        <v>883</v>
      </c>
      <c r="D234" s="9" t="s">
        <v>431</v>
      </c>
      <c r="E234" s="10">
        <v>10000.0</v>
      </c>
      <c r="G234" s="9">
        <v>6.6510827E7</v>
      </c>
      <c r="H234" s="9" t="s">
        <v>205</v>
      </c>
      <c r="I234" s="9" t="s">
        <v>9</v>
      </c>
      <c r="J234" s="9" t="s">
        <v>386</v>
      </c>
      <c r="K234" s="10">
        <v>5000.0</v>
      </c>
    </row>
    <row r="235" ht="12.75" customHeight="1">
      <c r="A235" s="17" t="s">
        <v>884</v>
      </c>
      <c r="B235" s="17" t="s">
        <v>885</v>
      </c>
      <c r="C235" s="17" t="s">
        <v>886</v>
      </c>
      <c r="D235" s="17" t="s">
        <v>429</v>
      </c>
      <c r="E235" s="18">
        <v>960.0</v>
      </c>
      <c r="G235" s="9">
        <v>6.6510843E7</v>
      </c>
      <c r="H235" s="9" t="s">
        <v>205</v>
      </c>
      <c r="I235" s="9" t="s">
        <v>4</v>
      </c>
      <c r="J235" s="9" t="s">
        <v>386</v>
      </c>
      <c r="K235" s="10">
        <v>14000.0</v>
      </c>
    </row>
    <row r="236" ht="12.75" customHeight="1">
      <c r="A236" s="9" t="s">
        <v>884</v>
      </c>
      <c r="B236" s="9" t="s">
        <v>887</v>
      </c>
      <c r="C236" s="9" t="s">
        <v>888</v>
      </c>
      <c r="D236" s="9" t="s">
        <v>429</v>
      </c>
      <c r="E236" s="10">
        <v>14000.0</v>
      </c>
      <c r="G236" s="9">
        <v>6.6510853E7</v>
      </c>
      <c r="H236" s="9" t="s">
        <v>211</v>
      </c>
      <c r="I236" s="9" t="s">
        <v>9</v>
      </c>
      <c r="J236" s="9" t="s">
        <v>386</v>
      </c>
      <c r="K236" s="10">
        <v>5000.0</v>
      </c>
    </row>
    <row r="237" ht="12.75" customHeight="1">
      <c r="A237" s="9" t="s">
        <v>884</v>
      </c>
      <c r="B237" s="9" t="s">
        <v>873</v>
      </c>
      <c r="C237" s="9" t="s">
        <v>889</v>
      </c>
      <c r="D237" s="9" t="s">
        <v>429</v>
      </c>
      <c r="E237" s="10">
        <v>28000.0</v>
      </c>
      <c r="G237" s="9">
        <v>6.6510862E7</v>
      </c>
      <c r="H237" s="9" t="s">
        <v>211</v>
      </c>
      <c r="I237" s="9" t="s">
        <v>4</v>
      </c>
      <c r="J237" s="9" t="s">
        <v>386</v>
      </c>
      <c r="K237" s="10">
        <v>7000.0</v>
      </c>
    </row>
    <row r="238" ht="12.75" customHeight="1">
      <c r="A238" s="17" t="s">
        <v>884</v>
      </c>
      <c r="B238" s="17" t="s">
        <v>890</v>
      </c>
      <c r="C238" s="17" t="s">
        <v>891</v>
      </c>
      <c r="D238" s="17" t="s">
        <v>429</v>
      </c>
      <c r="E238" s="18">
        <v>1600.0</v>
      </c>
      <c r="G238" s="9">
        <v>6.6510958E7</v>
      </c>
      <c r="H238" s="9" t="s">
        <v>88</v>
      </c>
      <c r="I238" s="9" t="s">
        <v>10</v>
      </c>
      <c r="J238" s="9" t="s">
        <v>386</v>
      </c>
      <c r="K238" s="10">
        <v>210000.0</v>
      </c>
    </row>
    <row r="239" ht="12.75" customHeight="1">
      <c r="A239" s="17" t="s">
        <v>892</v>
      </c>
      <c r="B239" s="17" t="s">
        <v>893</v>
      </c>
      <c r="C239" s="17" t="s">
        <v>894</v>
      </c>
      <c r="D239" s="17" t="s">
        <v>431</v>
      </c>
      <c r="E239" s="18">
        <v>5000.0</v>
      </c>
      <c r="G239" s="9">
        <v>6.6511131E7</v>
      </c>
      <c r="H239" s="9" t="s">
        <v>395</v>
      </c>
      <c r="I239" s="9" t="s">
        <v>9</v>
      </c>
      <c r="J239" s="9" t="s">
        <v>386</v>
      </c>
      <c r="K239" s="10">
        <v>25000.0</v>
      </c>
    </row>
    <row r="240" ht="12.75" customHeight="1">
      <c r="A240" s="9" t="s">
        <v>895</v>
      </c>
      <c r="B240" s="9" t="s">
        <v>896</v>
      </c>
      <c r="C240" s="9" t="s">
        <v>897</v>
      </c>
      <c r="D240" s="9" t="s">
        <v>431</v>
      </c>
      <c r="E240" s="10">
        <v>5000.0</v>
      </c>
      <c r="G240" s="9">
        <v>6.6511153E7</v>
      </c>
      <c r="H240" s="9" t="s">
        <v>397</v>
      </c>
      <c r="I240" s="9" t="s">
        <v>9</v>
      </c>
      <c r="J240" s="9" t="s">
        <v>386</v>
      </c>
      <c r="K240" s="10">
        <v>5000.0</v>
      </c>
    </row>
    <row r="241" ht="12.75" customHeight="1">
      <c r="A241" s="9" t="s">
        <v>898</v>
      </c>
      <c r="B241" s="9" t="s">
        <v>95</v>
      </c>
      <c r="C241" s="9" t="s">
        <v>899</v>
      </c>
      <c r="D241" s="9" t="s">
        <v>428</v>
      </c>
      <c r="E241" s="10">
        <v>210000.0</v>
      </c>
      <c r="G241" s="9">
        <v>6.6511155E7</v>
      </c>
      <c r="H241" s="9" t="s">
        <v>399</v>
      </c>
      <c r="I241" s="9" t="s">
        <v>9</v>
      </c>
      <c r="J241" s="9" t="s">
        <v>386</v>
      </c>
      <c r="K241" s="10">
        <v>15000.0</v>
      </c>
    </row>
    <row r="242" ht="12.75" customHeight="1">
      <c r="A242" s="9" t="s">
        <v>900</v>
      </c>
      <c r="B242" s="9" t="s">
        <v>901</v>
      </c>
      <c r="C242" s="9" t="s">
        <v>902</v>
      </c>
      <c r="D242" s="9" t="s">
        <v>429</v>
      </c>
      <c r="E242" s="10">
        <v>3200.0</v>
      </c>
      <c r="G242" s="9">
        <v>6.6511165E7</v>
      </c>
      <c r="H242" s="9" t="s">
        <v>399</v>
      </c>
      <c r="I242" s="9" t="s">
        <v>7</v>
      </c>
      <c r="J242" s="9" t="s">
        <v>386</v>
      </c>
      <c r="K242" s="10">
        <v>41600.0</v>
      </c>
    </row>
    <row r="243" ht="12.75" customHeight="1">
      <c r="A243" s="17" t="s">
        <v>903</v>
      </c>
      <c r="B243" s="17" t="s">
        <v>904</v>
      </c>
      <c r="C243" s="17" t="s">
        <v>561</v>
      </c>
      <c r="D243" s="17" t="s">
        <v>431</v>
      </c>
      <c r="E243" s="18">
        <v>15000.0</v>
      </c>
      <c r="G243" s="9">
        <v>6.6511185E7</v>
      </c>
      <c r="H243" s="9" t="s">
        <v>395</v>
      </c>
      <c r="I243" s="9" t="s">
        <v>3</v>
      </c>
      <c r="J243" s="9" t="s">
        <v>386</v>
      </c>
      <c r="K243" s="10">
        <v>2526.0</v>
      </c>
    </row>
    <row r="244" ht="12.75" customHeight="1">
      <c r="A244" s="9" t="s">
        <v>905</v>
      </c>
      <c r="B244" s="9" t="s">
        <v>633</v>
      </c>
      <c r="C244" s="9" t="s">
        <v>558</v>
      </c>
      <c r="D244" s="9" t="s">
        <v>431</v>
      </c>
      <c r="E244" s="10">
        <v>15000.0</v>
      </c>
      <c r="G244" s="9">
        <v>6.6511214E7</v>
      </c>
      <c r="H244" s="9" t="s">
        <v>397</v>
      </c>
      <c r="I244" s="9" t="s">
        <v>4</v>
      </c>
      <c r="J244" s="9" t="s">
        <v>386</v>
      </c>
      <c r="K244" s="10">
        <v>7000.0</v>
      </c>
    </row>
    <row r="245" ht="12.75" customHeight="1">
      <c r="A245" s="9" t="s">
        <v>906</v>
      </c>
      <c r="B245" s="9" t="s">
        <v>457</v>
      </c>
      <c r="C245" s="9" t="s">
        <v>907</v>
      </c>
      <c r="D245" s="9" t="s">
        <v>431</v>
      </c>
      <c r="E245" s="10">
        <v>5000.0</v>
      </c>
      <c r="G245" s="9">
        <v>6.6511242E7</v>
      </c>
      <c r="H245" s="9" t="s">
        <v>404</v>
      </c>
      <c r="I245" s="9" t="s">
        <v>9</v>
      </c>
      <c r="J245" s="9" t="s">
        <v>386</v>
      </c>
      <c r="K245" s="10">
        <v>5000.0</v>
      </c>
    </row>
    <row r="246" ht="12.75" customHeight="1">
      <c r="A246" s="17" t="s">
        <v>908</v>
      </c>
      <c r="B246" s="17" t="s">
        <v>471</v>
      </c>
      <c r="C246" s="17" t="s">
        <v>909</v>
      </c>
      <c r="D246" s="17" t="s">
        <v>429</v>
      </c>
      <c r="E246" s="18">
        <v>2518.0</v>
      </c>
      <c r="G246" s="9">
        <v>6.651125E7</v>
      </c>
      <c r="H246" s="9" t="s">
        <v>406</v>
      </c>
      <c r="I246" s="9" t="s">
        <v>9</v>
      </c>
      <c r="J246" s="9" t="s">
        <v>386</v>
      </c>
      <c r="K246" s="10">
        <v>10000.0</v>
      </c>
    </row>
    <row r="247" ht="12.75" customHeight="1">
      <c r="A247" s="17" t="s">
        <v>910</v>
      </c>
      <c r="B247" s="17" t="s">
        <v>474</v>
      </c>
      <c r="C247" s="17" t="s">
        <v>911</v>
      </c>
      <c r="D247" s="17" t="s">
        <v>431</v>
      </c>
      <c r="E247" s="18">
        <v>5000.0</v>
      </c>
      <c r="G247" s="9">
        <v>6.651126E7</v>
      </c>
      <c r="H247" s="9" t="s">
        <v>406</v>
      </c>
      <c r="I247" s="9" t="s">
        <v>7</v>
      </c>
      <c r="J247" s="9" t="s">
        <v>386</v>
      </c>
      <c r="K247" s="10">
        <v>30000.0</v>
      </c>
    </row>
    <row r="248" ht="12.75" customHeight="1">
      <c r="A248" s="17" t="s">
        <v>912</v>
      </c>
      <c r="B248" s="17" t="s">
        <v>332</v>
      </c>
      <c r="C248" s="17" t="s">
        <v>913</v>
      </c>
      <c r="D248" s="17" t="s">
        <v>429</v>
      </c>
      <c r="E248" s="18">
        <v>5100.0</v>
      </c>
      <c r="G248" s="9">
        <v>6.651129E7</v>
      </c>
      <c r="H248" s="9" t="s">
        <v>201</v>
      </c>
      <c r="I248" s="9" t="s">
        <v>9</v>
      </c>
      <c r="J248" s="9" t="s">
        <v>386</v>
      </c>
      <c r="K248" s="10">
        <v>5000.0</v>
      </c>
    </row>
    <row r="249" ht="12.75" customHeight="1">
      <c r="A249" s="9" t="s">
        <v>914</v>
      </c>
      <c r="B249" s="9" t="s">
        <v>915</v>
      </c>
      <c r="C249" s="9" t="s">
        <v>916</v>
      </c>
      <c r="D249" s="9" t="s">
        <v>431</v>
      </c>
      <c r="E249" s="10">
        <v>5000.0</v>
      </c>
      <c r="G249" s="9">
        <v>6.6511292E7</v>
      </c>
      <c r="H249" s="9" t="s">
        <v>201</v>
      </c>
      <c r="I249" s="9" t="s">
        <v>4</v>
      </c>
      <c r="J249" s="9" t="s">
        <v>386</v>
      </c>
      <c r="K249" s="10">
        <v>14000.0</v>
      </c>
    </row>
    <row r="250" ht="12.75" customHeight="1">
      <c r="A250" s="17" t="s">
        <v>917</v>
      </c>
      <c r="B250" s="17" t="s">
        <v>88</v>
      </c>
      <c r="C250" s="24" t="s">
        <v>1304</v>
      </c>
      <c r="D250" s="17" t="s">
        <v>428</v>
      </c>
      <c r="E250" s="23">
        <v>266000.0</v>
      </c>
      <c r="F250" s="16"/>
      <c r="G250" s="9">
        <v>6.6511344E7</v>
      </c>
      <c r="H250" s="9" t="s">
        <v>411</v>
      </c>
      <c r="I250" s="9" t="s">
        <v>9</v>
      </c>
      <c r="J250" s="9" t="s">
        <v>386</v>
      </c>
      <c r="K250" s="10">
        <v>10000.0</v>
      </c>
    </row>
    <row r="251" ht="12.75" customHeight="1">
      <c r="A251" s="9" t="s">
        <v>919</v>
      </c>
      <c r="B251" s="9" t="s">
        <v>97</v>
      </c>
      <c r="C251" s="9" t="s">
        <v>920</v>
      </c>
      <c r="D251" s="9" t="s">
        <v>429</v>
      </c>
      <c r="E251" s="10">
        <v>24000.0</v>
      </c>
      <c r="G251" s="9">
        <v>6.6511423E7</v>
      </c>
      <c r="H251" s="9" t="s">
        <v>211</v>
      </c>
      <c r="I251" s="9" t="s">
        <v>9</v>
      </c>
      <c r="J251" s="9" t="s">
        <v>386</v>
      </c>
      <c r="K251" s="10">
        <v>5000.0</v>
      </c>
    </row>
    <row r="252" ht="12.75" customHeight="1">
      <c r="A252" s="17" t="s">
        <v>919</v>
      </c>
      <c r="B252" s="17" t="s">
        <v>97</v>
      </c>
      <c r="C252" s="17" t="s">
        <v>921</v>
      </c>
      <c r="D252" s="17" t="s">
        <v>429</v>
      </c>
      <c r="E252" s="18">
        <v>12000.0</v>
      </c>
      <c r="G252" s="9">
        <v>6.6511428E7</v>
      </c>
      <c r="H252" s="9" t="s">
        <v>211</v>
      </c>
      <c r="I252" s="9" t="s">
        <v>4</v>
      </c>
      <c r="J252" s="9" t="s">
        <v>386</v>
      </c>
      <c r="K252" s="10">
        <v>6000.0</v>
      </c>
    </row>
    <row r="253" ht="12.75" customHeight="1">
      <c r="A253" s="17" t="s">
        <v>919</v>
      </c>
      <c r="B253" s="17" t="s">
        <v>397</v>
      </c>
      <c r="C253" s="17" t="s">
        <v>922</v>
      </c>
      <c r="D253" s="17" t="s">
        <v>429</v>
      </c>
      <c r="E253" s="18">
        <v>2000.0</v>
      </c>
      <c r="G253" s="9">
        <v>6.6511435E7</v>
      </c>
      <c r="H253" s="9" t="s">
        <v>205</v>
      </c>
      <c r="I253" s="9" t="s">
        <v>9</v>
      </c>
      <c r="J253" s="9" t="s">
        <v>386</v>
      </c>
      <c r="K253" s="10">
        <v>5000.0</v>
      </c>
    </row>
    <row r="254" ht="12.75" customHeight="1">
      <c r="A254" s="9" t="s">
        <v>919</v>
      </c>
      <c r="B254" s="9" t="s">
        <v>923</v>
      </c>
      <c r="C254" s="9" t="s">
        <v>924</v>
      </c>
      <c r="D254" s="9" t="s">
        <v>429</v>
      </c>
      <c r="E254" s="10">
        <v>32000.0</v>
      </c>
      <c r="G254" s="9">
        <v>6.6511447E7</v>
      </c>
      <c r="H254" s="9" t="s">
        <v>205</v>
      </c>
      <c r="I254" s="9" t="s">
        <v>4</v>
      </c>
      <c r="J254" s="9" t="s">
        <v>386</v>
      </c>
      <c r="K254" s="10">
        <v>14000.0</v>
      </c>
    </row>
    <row r="255" ht="12.75" customHeight="1">
      <c r="A255" s="9" t="s">
        <v>925</v>
      </c>
      <c r="B255" s="9" t="s">
        <v>807</v>
      </c>
      <c r="C255" s="28">
        <v>6.6506683E7</v>
      </c>
      <c r="D255" s="9" t="s">
        <v>431</v>
      </c>
      <c r="E255" s="10">
        <v>5000.0</v>
      </c>
      <c r="G255" s="9">
        <v>6.6511536E7</v>
      </c>
      <c r="H255" s="9" t="s">
        <v>417</v>
      </c>
      <c r="I255" s="9" t="s">
        <v>9</v>
      </c>
      <c r="J255" s="9" t="s">
        <v>386</v>
      </c>
      <c r="K255" s="10">
        <v>5000.0</v>
      </c>
    </row>
    <row r="256" ht="12.75" customHeight="1">
      <c r="A256" s="9" t="s">
        <v>927</v>
      </c>
      <c r="B256" s="9" t="s">
        <v>340</v>
      </c>
      <c r="C256" s="9" t="s">
        <v>928</v>
      </c>
      <c r="D256" s="9" t="s">
        <v>429</v>
      </c>
      <c r="E256" s="10">
        <v>1200.0</v>
      </c>
      <c r="G256" s="9">
        <v>6.6511546E7</v>
      </c>
      <c r="H256" s="9" t="s">
        <v>417</v>
      </c>
      <c r="I256" s="9" t="s">
        <v>7</v>
      </c>
      <c r="J256" s="9" t="s">
        <v>386</v>
      </c>
      <c r="K256" s="10">
        <v>46800.0</v>
      </c>
    </row>
    <row r="257" ht="12.75" customHeight="1">
      <c r="A257" s="17" t="s">
        <v>929</v>
      </c>
      <c r="B257" s="17" t="s">
        <v>930</v>
      </c>
      <c r="C257" s="17" t="s">
        <v>931</v>
      </c>
      <c r="D257" s="17" t="s">
        <v>431</v>
      </c>
      <c r="E257" s="18">
        <v>40000.0</v>
      </c>
      <c r="G257" s="9">
        <v>6.6511574E7</v>
      </c>
      <c r="H257" s="9" t="s">
        <v>420</v>
      </c>
      <c r="I257" s="9" t="s">
        <v>9</v>
      </c>
      <c r="J257" s="9" t="s">
        <v>386</v>
      </c>
      <c r="K257" s="10">
        <v>5000.0</v>
      </c>
    </row>
    <row r="258" ht="12.75" customHeight="1">
      <c r="A258" s="17" t="s">
        <v>932</v>
      </c>
      <c r="B258" s="17" t="s">
        <v>933</v>
      </c>
      <c r="C258" s="17" t="s">
        <v>934</v>
      </c>
      <c r="D258" s="17" t="s">
        <v>431</v>
      </c>
      <c r="E258" s="18">
        <v>5000.0</v>
      </c>
      <c r="G258" s="9">
        <v>6.6511583E7</v>
      </c>
      <c r="H258" s="9" t="s">
        <v>420</v>
      </c>
      <c r="I258" s="9" t="s">
        <v>7</v>
      </c>
      <c r="J258" s="9" t="s">
        <v>386</v>
      </c>
      <c r="K258" s="10">
        <v>46800.0</v>
      </c>
    </row>
    <row r="259" ht="12.75" customHeight="1">
      <c r="A259" s="17" t="s">
        <v>935</v>
      </c>
      <c r="B259" s="17" t="s">
        <v>722</v>
      </c>
      <c r="C259" s="17" t="s">
        <v>936</v>
      </c>
      <c r="D259" s="17" t="s">
        <v>431</v>
      </c>
      <c r="E259" s="18">
        <v>5000.0</v>
      </c>
      <c r="G259" s="30">
        <v>6.6510719E7</v>
      </c>
      <c r="H259" s="30" t="s">
        <v>1305</v>
      </c>
      <c r="I259" s="30" t="s">
        <v>5</v>
      </c>
      <c r="J259" s="30" t="s">
        <v>1306</v>
      </c>
      <c r="K259" s="30">
        <v>120000.0</v>
      </c>
    </row>
    <row r="260" ht="12.75" customHeight="1">
      <c r="A260" s="17" t="s">
        <v>937</v>
      </c>
      <c r="B260" s="17" t="s">
        <v>938</v>
      </c>
      <c r="C260" s="17" t="s">
        <v>939</v>
      </c>
      <c r="D260" s="17" t="s">
        <v>428</v>
      </c>
      <c r="E260" s="18">
        <v>546000.0</v>
      </c>
      <c r="G260" s="30">
        <v>6.6510729E7</v>
      </c>
      <c r="H260" s="30" t="s">
        <v>1307</v>
      </c>
      <c r="I260" s="30" t="s">
        <v>5</v>
      </c>
      <c r="J260" s="30" t="s">
        <v>1308</v>
      </c>
      <c r="K260" s="30">
        <v>120000.0</v>
      </c>
    </row>
    <row r="261" ht="12.75" customHeight="1">
      <c r="A261" s="9" t="s">
        <v>937</v>
      </c>
      <c r="B261" s="9" t="s">
        <v>938</v>
      </c>
      <c r="C261" s="9" t="s">
        <v>940</v>
      </c>
      <c r="D261" s="9" t="s">
        <v>428</v>
      </c>
      <c r="E261" s="10">
        <v>546000.0</v>
      </c>
      <c r="G261" s="30">
        <v>6.6510741E7</v>
      </c>
      <c r="H261" s="30" t="s">
        <v>1309</v>
      </c>
      <c r="I261" s="30" t="s">
        <v>1310</v>
      </c>
      <c r="J261" s="30" t="s">
        <v>1306</v>
      </c>
      <c r="K261" s="30">
        <v>350000.0</v>
      </c>
    </row>
    <row r="262" ht="12.75" customHeight="1">
      <c r="A262" s="17" t="s">
        <v>937</v>
      </c>
      <c r="B262" s="17" t="s">
        <v>938</v>
      </c>
      <c r="C262" s="17" t="s">
        <v>941</v>
      </c>
      <c r="D262" s="17" t="s">
        <v>428</v>
      </c>
      <c r="E262" s="18">
        <v>336000.0</v>
      </c>
      <c r="G262" s="30">
        <v>6.6510748E7</v>
      </c>
      <c r="H262" s="30" t="s">
        <v>1311</v>
      </c>
      <c r="I262" s="30" t="s">
        <v>1312</v>
      </c>
      <c r="J262" s="30" t="s">
        <v>1306</v>
      </c>
      <c r="K262" s="30">
        <v>50000.0</v>
      </c>
    </row>
    <row r="263" ht="25.5" customHeight="1">
      <c r="A263" s="9" t="s">
        <v>937</v>
      </c>
      <c r="B263" s="9" t="s">
        <v>938</v>
      </c>
      <c r="C263" s="22" t="s">
        <v>1313</v>
      </c>
      <c r="D263" s="9" t="s">
        <v>428</v>
      </c>
      <c r="E263" s="27">
        <v>546000.0</v>
      </c>
      <c r="F263" s="11">
        <v>266000.0</v>
      </c>
      <c r="K263" s="8">
        <f>SUM(K10:K262)</f>
        <v>6442156</v>
      </c>
      <c r="L263" s="31">
        <v>6586136.0</v>
      </c>
      <c r="M263" s="32">
        <f>L263-K263</f>
        <v>143980</v>
      </c>
    </row>
    <row r="264" ht="25.5" customHeight="1">
      <c r="A264" s="17" t="s">
        <v>937</v>
      </c>
      <c r="B264" s="17" t="s">
        <v>938</v>
      </c>
      <c r="C264" s="22" t="s">
        <v>1314</v>
      </c>
      <c r="D264" s="17" t="s">
        <v>428</v>
      </c>
      <c r="E264" s="23">
        <v>546000.0</v>
      </c>
    </row>
    <row r="265" ht="12.75" customHeight="1">
      <c r="A265" s="17" t="s">
        <v>944</v>
      </c>
      <c r="B265" s="17" t="s">
        <v>397</v>
      </c>
      <c r="C265" s="17" t="s">
        <v>945</v>
      </c>
      <c r="D265" s="17" t="s">
        <v>429</v>
      </c>
      <c r="E265" s="18">
        <v>14000.0</v>
      </c>
      <c r="M265" s="24">
        <v>6.6482983E7</v>
      </c>
      <c r="N265" s="9" t="s">
        <v>119</v>
      </c>
    </row>
    <row r="266" ht="12.75" customHeight="1">
      <c r="A266" s="9" t="s">
        <v>946</v>
      </c>
      <c r="B266" s="9" t="s">
        <v>722</v>
      </c>
      <c r="C266" s="9" t="s">
        <v>947</v>
      </c>
      <c r="D266" s="9" t="s">
        <v>431</v>
      </c>
      <c r="E266" s="10">
        <v>5000.0</v>
      </c>
      <c r="M266" s="24">
        <v>6.6482985E7</v>
      </c>
      <c r="N266" s="9" t="s">
        <v>119</v>
      </c>
      <c r="O266" s="9" t="s">
        <v>10</v>
      </c>
      <c r="P266" s="9" t="s">
        <v>109</v>
      </c>
      <c r="Q266" s="27">
        <v>210000.0</v>
      </c>
    </row>
    <row r="267" ht="38.25" customHeight="1">
      <c r="A267" s="9" t="s">
        <v>948</v>
      </c>
      <c r="B267" s="9" t="s">
        <v>397</v>
      </c>
      <c r="C267" s="9" t="s">
        <v>949</v>
      </c>
      <c r="D267" s="9" t="s">
        <v>429</v>
      </c>
      <c r="E267" s="10">
        <v>14000.0</v>
      </c>
      <c r="M267" s="9" t="s">
        <v>938</v>
      </c>
      <c r="N267" s="22" t="s">
        <v>1313</v>
      </c>
      <c r="O267" s="9" t="s">
        <v>2</v>
      </c>
      <c r="P267" s="9" t="s">
        <v>109</v>
      </c>
      <c r="Q267" s="27">
        <v>56000.0</v>
      </c>
    </row>
    <row r="268" ht="12.75" customHeight="1">
      <c r="A268" s="17" t="s">
        <v>950</v>
      </c>
      <c r="B268" s="17" t="s">
        <v>722</v>
      </c>
      <c r="C268" s="17" t="s">
        <v>951</v>
      </c>
      <c r="D268" s="17" t="s">
        <v>431</v>
      </c>
      <c r="E268" s="18">
        <v>5000.0</v>
      </c>
      <c r="O268" s="9" t="s">
        <v>428</v>
      </c>
      <c r="P268" s="27">
        <v>546000.0</v>
      </c>
    </row>
    <row r="269" ht="12.75" customHeight="1">
      <c r="A269" s="17" t="s">
        <v>952</v>
      </c>
      <c r="B269" s="17" t="s">
        <v>397</v>
      </c>
      <c r="C269" s="17" t="s">
        <v>953</v>
      </c>
      <c r="D269" s="17" t="s">
        <v>429</v>
      </c>
      <c r="E269" s="18">
        <v>14000.0</v>
      </c>
    </row>
    <row r="270" ht="12.75" customHeight="1">
      <c r="A270" s="9" t="s">
        <v>954</v>
      </c>
      <c r="B270" s="9" t="s">
        <v>725</v>
      </c>
      <c r="C270" s="9" t="s">
        <v>955</v>
      </c>
      <c r="D270" s="9" t="s">
        <v>431</v>
      </c>
      <c r="E270" s="10">
        <v>5000.0</v>
      </c>
      <c r="M270" s="24">
        <v>6.6494218E7</v>
      </c>
      <c r="N270" s="9" t="s">
        <v>229</v>
      </c>
    </row>
    <row r="271" ht="12.75" customHeight="1">
      <c r="A271" s="9" t="s">
        <v>956</v>
      </c>
      <c r="B271" s="9" t="s">
        <v>397</v>
      </c>
      <c r="C271" s="9" t="s">
        <v>957</v>
      </c>
      <c r="D271" s="9" t="s">
        <v>429</v>
      </c>
      <c r="E271" s="10">
        <v>14000.0</v>
      </c>
      <c r="M271" s="24">
        <v>6.6494239E7</v>
      </c>
      <c r="N271" s="9" t="s">
        <v>229</v>
      </c>
      <c r="O271" s="9" t="s">
        <v>10</v>
      </c>
      <c r="P271" s="9" t="s">
        <v>203</v>
      </c>
      <c r="Q271" s="27">
        <v>210000.0</v>
      </c>
    </row>
    <row r="272" ht="25.5" customHeight="1">
      <c r="A272" s="17" t="s">
        <v>958</v>
      </c>
      <c r="B272" s="17" t="s">
        <v>578</v>
      </c>
      <c r="C272" s="17" t="s">
        <v>959</v>
      </c>
      <c r="D272" s="17" t="s">
        <v>431</v>
      </c>
      <c r="E272" s="18">
        <v>5000.0</v>
      </c>
      <c r="M272" s="9" t="s">
        <v>88</v>
      </c>
      <c r="N272" s="22" t="s">
        <v>1315</v>
      </c>
      <c r="O272" s="9" t="s">
        <v>2</v>
      </c>
      <c r="P272" s="9" t="s">
        <v>203</v>
      </c>
      <c r="Q272" s="27">
        <v>28000.0</v>
      </c>
    </row>
    <row r="273" ht="12.75" customHeight="1">
      <c r="A273" s="17" t="s">
        <v>960</v>
      </c>
      <c r="B273" s="17" t="s">
        <v>397</v>
      </c>
      <c r="C273" s="17" t="s">
        <v>961</v>
      </c>
      <c r="D273" s="17" t="s">
        <v>429</v>
      </c>
      <c r="E273" s="18">
        <v>7000.0</v>
      </c>
      <c r="O273" s="9" t="s">
        <v>428</v>
      </c>
      <c r="P273" s="27">
        <v>378000.0</v>
      </c>
    </row>
    <row r="274" ht="12.75" customHeight="1">
      <c r="A274" s="9" t="s">
        <v>962</v>
      </c>
      <c r="B274" s="9" t="s">
        <v>722</v>
      </c>
      <c r="C274" s="9" t="s">
        <v>963</v>
      </c>
      <c r="D274" s="9" t="s">
        <v>431</v>
      </c>
      <c r="E274" s="10">
        <v>5000.0</v>
      </c>
    </row>
    <row r="275" ht="12.75" customHeight="1">
      <c r="A275" s="9" t="s">
        <v>964</v>
      </c>
      <c r="B275" s="9" t="s">
        <v>397</v>
      </c>
      <c r="C275" s="9" t="s">
        <v>965</v>
      </c>
      <c r="D275" s="9" t="s">
        <v>429</v>
      </c>
      <c r="E275" s="10">
        <v>14000.0</v>
      </c>
    </row>
    <row r="276" ht="12.75" customHeight="1">
      <c r="A276" s="17" t="s">
        <v>966</v>
      </c>
      <c r="B276" s="17" t="s">
        <v>578</v>
      </c>
      <c r="C276" s="17" t="s">
        <v>967</v>
      </c>
      <c r="D276" s="17" t="s">
        <v>431</v>
      </c>
      <c r="E276" s="18">
        <v>5000.0</v>
      </c>
    </row>
    <row r="277" ht="12.75" customHeight="1">
      <c r="A277" s="17" t="s">
        <v>968</v>
      </c>
      <c r="B277" s="17" t="s">
        <v>397</v>
      </c>
      <c r="C277" s="17" t="s">
        <v>969</v>
      </c>
      <c r="D277" s="17" t="s">
        <v>429</v>
      </c>
      <c r="E277" s="18">
        <v>6000.0</v>
      </c>
    </row>
    <row r="278" ht="12.75" customHeight="1">
      <c r="A278" s="9" t="s">
        <v>970</v>
      </c>
      <c r="B278" s="9" t="s">
        <v>457</v>
      </c>
      <c r="C278" s="9" t="s">
        <v>971</v>
      </c>
      <c r="D278" s="9" t="s">
        <v>431</v>
      </c>
      <c r="E278" s="10">
        <v>15000.0</v>
      </c>
    </row>
    <row r="279" ht="12.75" customHeight="1">
      <c r="A279" s="9" t="s">
        <v>972</v>
      </c>
      <c r="B279" s="9" t="s">
        <v>471</v>
      </c>
      <c r="C279" s="9" t="s">
        <v>973</v>
      </c>
      <c r="D279" s="9" t="s">
        <v>429</v>
      </c>
      <c r="E279" s="10">
        <v>7200.0</v>
      </c>
    </row>
    <row r="280" ht="12.75" customHeight="1">
      <c r="A280" s="17" t="s">
        <v>974</v>
      </c>
      <c r="B280" s="17" t="s">
        <v>975</v>
      </c>
      <c r="C280" s="17" t="s">
        <v>976</v>
      </c>
      <c r="D280" s="17" t="s">
        <v>431</v>
      </c>
      <c r="E280" s="18">
        <v>35000.0</v>
      </c>
    </row>
    <row r="281" ht="12.75" customHeight="1">
      <c r="A281" s="9" t="s">
        <v>977</v>
      </c>
      <c r="B281" s="9" t="s">
        <v>978</v>
      </c>
      <c r="C281" s="9" t="s">
        <v>979</v>
      </c>
      <c r="D281" s="9" t="s">
        <v>431</v>
      </c>
      <c r="E281" s="10">
        <v>5000.0</v>
      </c>
    </row>
    <row r="282" ht="12.75" customHeight="1">
      <c r="A282" s="17" t="s">
        <v>980</v>
      </c>
      <c r="B282" s="17" t="s">
        <v>981</v>
      </c>
      <c r="C282" s="17" t="s">
        <v>982</v>
      </c>
      <c r="D282" s="17" t="s">
        <v>429</v>
      </c>
      <c r="E282" s="18">
        <v>14000.0</v>
      </c>
    </row>
    <row r="283" ht="12.75" customHeight="1">
      <c r="A283" s="9" t="s">
        <v>983</v>
      </c>
      <c r="B283" s="9" t="s">
        <v>397</v>
      </c>
      <c r="C283" s="9" t="s">
        <v>984</v>
      </c>
      <c r="D283" s="9" t="s">
        <v>429</v>
      </c>
      <c r="E283" s="10">
        <v>14000.0</v>
      </c>
    </row>
    <row r="284" ht="12.75" customHeight="1">
      <c r="A284" s="17" t="s">
        <v>985</v>
      </c>
      <c r="B284" s="17" t="s">
        <v>199</v>
      </c>
      <c r="C284" s="17" t="s">
        <v>986</v>
      </c>
      <c r="D284" s="17" t="s">
        <v>429</v>
      </c>
      <c r="E284" s="18">
        <v>33600.0</v>
      </c>
    </row>
    <row r="285" ht="12.75" customHeight="1">
      <c r="A285" s="17" t="s">
        <v>987</v>
      </c>
      <c r="B285" s="17" t="s">
        <v>404</v>
      </c>
      <c r="C285" s="17" t="s">
        <v>988</v>
      </c>
      <c r="D285" s="17" t="s">
        <v>431</v>
      </c>
      <c r="E285" s="18">
        <v>15000.0</v>
      </c>
    </row>
    <row r="286" ht="12.75" customHeight="1">
      <c r="A286" s="9" t="s">
        <v>989</v>
      </c>
      <c r="B286" s="9" t="s">
        <v>725</v>
      </c>
      <c r="C286" s="9" t="s">
        <v>990</v>
      </c>
      <c r="D286" s="9" t="s">
        <v>431</v>
      </c>
      <c r="E286" s="10">
        <v>5000.0</v>
      </c>
    </row>
    <row r="287" ht="12.75" customHeight="1">
      <c r="A287" s="17" t="s">
        <v>991</v>
      </c>
      <c r="B287" s="17" t="s">
        <v>992</v>
      </c>
      <c r="C287" s="17" t="s">
        <v>993</v>
      </c>
      <c r="D287" s="17" t="s">
        <v>429</v>
      </c>
      <c r="E287" s="18">
        <v>4000.0</v>
      </c>
    </row>
    <row r="288" ht="12.75" customHeight="1">
      <c r="A288" s="9" t="s">
        <v>991</v>
      </c>
      <c r="B288" s="9" t="s">
        <v>73</v>
      </c>
      <c r="C288" s="9" t="s">
        <v>994</v>
      </c>
      <c r="D288" s="9" t="s">
        <v>429</v>
      </c>
      <c r="E288" s="10">
        <v>30170.0</v>
      </c>
    </row>
    <row r="289" ht="12.75" customHeight="1">
      <c r="A289" s="9" t="s">
        <v>991</v>
      </c>
      <c r="B289" s="9" t="s">
        <v>995</v>
      </c>
      <c r="C289" s="9" t="s">
        <v>996</v>
      </c>
      <c r="D289" s="9" t="s">
        <v>429</v>
      </c>
      <c r="E289" s="10">
        <v>46800.0</v>
      </c>
    </row>
    <row r="290" ht="12.75" customHeight="1">
      <c r="A290" s="17" t="s">
        <v>991</v>
      </c>
      <c r="B290" s="17" t="s">
        <v>995</v>
      </c>
      <c r="C290" s="17" t="s">
        <v>997</v>
      </c>
      <c r="D290" s="17" t="s">
        <v>429</v>
      </c>
      <c r="E290" s="18">
        <v>46800.0</v>
      </c>
    </row>
    <row r="291" ht="12.75" customHeight="1">
      <c r="A291" s="17" t="s">
        <v>998</v>
      </c>
      <c r="B291" s="17" t="s">
        <v>578</v>
      </c>
      <c r="C291" s="17" t="s">
        <v>999</v>
      </c>
      <c r="D291" s="17" t="s">
        <v>431</v>
      </c>
      <c r="E291" s="18">
        <v>5000.0</v>
      </c>
    </row>
    <row r="292" ht="12.75" customHeight="1">
      <c r="A292" s="17" t="s">
        <v>1000</v>
      </c>
      <c r="B292" s="17" t="s">
        <v>397</v>
      </c>
      <c r="C292" s="17" t="s">
        <v>1001</v>
      </c>
      <c r="D292" s="17" t="s">
        <v>429</v>
      </c>
      <c r="E292" s="18">
        <v>7000.0</v>
      </c>
    </row>
    <row r="293" ht="12.75" customHeight="1">
      <c r="A293" s="9" t="s">
        <v>1002</v>
      </c>
      <c r="B293" s="9" t="s">
        <v>722</v>
      </c>
      <c r="C293" s="9" t="s">
        <v>1003</v>
      </c>
      <c r="D293" s="9" t="s">
        <v>431</v>
      </c>
      <c r="E293" s="10">
        <v>5000.0</v>
      </c>
    </row>
    <row r="294" ht="12.75" customHeight="1">
      <c r="A294" s="9" t="s">
        <v>1004</v>
      </c>
      <c r="B294" s="9" t="s">
        <v>397</v>
      </c>
      <c r="C294" s="9" t="s">
        <v>1005</v>
      </c>
      <c r="D294" s="9" t="s">
        <v>429</v>
      </c>
      <c r="E294" s="10">
        <v>14000.0</v>
      </c>
    </row>
    <row r="295" ht="12.75" customHeight="1">
      <c r="A295" s="17" t="s">
        <v>1006</v>
      </c>
      <c r="B295" s="17" t="s">
        <v>725</v>
      </c>
      <c r="C295" s="17" t="s">
        <v>1007</v>
      </c>
      <c r="D295" s="17" t="s">
        <v>431</v>
      </c>
      <c r="E295" s="18">
        <v>5000.0</v>
      </c>
    </row>
    <row r="296" ht="12.75" customHeight="1">
      <c r="A296" s="17" t="s">
        <v>1008</v>
      </c>
      <c r="B296" s="17" t="s">
        <v>397</v>
      </c>
      <c r="C296" s="17" t="s">
        <v>1009</v>
      </c>
      <c r="D296" s="17" t="s">
        <v>429</v>
      </c>
      <c r="E296" s="18">
        <v>14000.0</v>
      </c>
    </row>
    <row r="297" ht="12.75" customHeight="1">
      <c r="A297" s="9" t="s">
        <v>1010</v>
      </c>
      <c r="B297" s="9" t="s">
        <v>1011</v>
      </c>
      <c r="C297" s="9" t="s">
        <v>1012</v>
      </c>
      <c r="D297" s="9" t="s">
        <v>431</v>
      </c>
      <c r="E297" s="10">
        <v>5000.0</v>
      </c>
    </row>
    <row r="298" ht="12.75" customHeight="1">
      <c r="A298" s="9" t="s">
        <v>1013</v>
      </c>
      <c r="B298" s="9" t="s">
        <v>397</v>
      </c>
      <c r="C298" s="9" t="s">
        <v>1014</v>
      </c>
      <c r="D298" s="9" t="s">
        <v>429</v>
      </c>
      <c r="E298" s="10">
        <v>7000.0</v>
      </c>
    </row>
    <row r="299" ht="12.75" customHeight="1">
      <c r="A299" s="9" t="s">
        <v>1015</v>
      </c>
      <c r="B299" s="9" t="s">
        <v>633</v>
      </c>
      <c r="C299" s="9" t="s">
        <v>1016</v>
      </c>
      <c r="D299" s="9" t="s">
        <v>431</v>
      </c>
      <c r="E299" s="10">
        <v>15000.0</v>
      </c>
    </row>
    <row r="300" ht="12.75" customHeight="1">
      <c r="A300" s="9" t="s">
        <v>1017</v>
      </c>
      <c r="B300" s="9" t="s">
        <v>1018</v>
      </c>
      <c r="C300" s="9" t="s">
        <v>1019</v>
      </c>
      <c r="D300" s="9" t="s">
        <v>429</v>
      </c>
      <c r="E300" s="10">
        <v>41600.0</v>
      </c>
    </row>
    <row r="301" ht="12.75" customHeight="1">
      <c r="A301" s="17" t="s">
        <v>1020</v>
      </c>
      <c r="B301" s="17" t="s">
        <v>1021</v>
      </c>
      <c r="C301" s="17" t="s">
        <v>1022</v>
      </c>
      <c r="D301" s="17" t="s">
        <v>431</v>
      </c>
      <c r="E301" s="18">
        <v>25000.0</v>
      </c>
    </row>
    <row r="302" ht="12.75" customHeight="1">
      <c r="A302" s="17" t="s">
        <v>1023</v>
      </c>
      <c r="B302" s="17" t="s">
        <v>578</v>
      </c>
      <c r="C302" s="17" t="s">
        <v>1024</v>
      </c>
      <c r="D302" s="17" t="s">
        <v>431</v>
      </c>
      <c r="E302" s="18">
        <v>5000.0</v>
      </c>
    </row>
    <row r="303" ht="12.75" customHeight="1">
      <c r="A303" s="9" t="s">
        <v>1025</v>
      </c>
      <c r="B303" s="9" t="s">
        <v>1026</v>
      </c>
      <c r="C303" s="9" t="s">
        <v>1027</v>
      </c>
      <c r="D303" s="9" t="s">
        <v>431</v>
      </c>
      <c r="E303" s="10">
        <v>10000.0</v>
      </c>
    </row>
    <row r="304" ht="12.75" customHeight="1">
      <c r="A304" s="17" t="s">
        <v>1028</v>
      </c>
      <c r="B304" s="17" t="s">
        <v>873</v>
      </c>
      <c r="C304" s="17" t="s">
        <v>1029</v>
      </c>
      <c r="D304" s="17" t="s">
        <v>429</v>
      </c>
      <c r="E304" s="18">
        <v>30000.0</v>
      </c>
    </row>
    <row r="305" ht="12.75" customHeight="1">
      <c r="A305" s="9" t="s">
        <v>1030</v>
      </c>
      <c r="B305" s="9" t="s">
        <v>1031</v>
      </c>
      <c r="C305" s="9" t="s">
        <v>1032</v>
      </c>
      <c r="D305" s="9" t="s">
        <v>429</v>
      </c>
      <c r="E305" s="10">
        <v>2526.0</v>
      </c>
    </row>
    <row r="306" ht="12.75" customHeight="1">
      <c r="A306" s="9" t="s">
        <v>1033</v>
      </c>
      <c r="B306" s="9" t="s">
        <v>722</v>
      </c>
      <c r="C306" s="9" t="s">
        <v>1034</v>
      </c>
      <c r="D306" s="9" t="s">
        <v>431</v>
      </c>
      <c r="E306" s="10">
        <v>5000.0</v>
      </c>
    </row>
    <row r="307" ht="12.75" customHeight="1">
      <c r="A307" s="17" t="s">
        <v>1035</v>
      </c>
      <c r="B307" s="17" t="s">
        <v>397</v>
      </c>
      <c r="C307" s="17" t="s">
        <v>1036</v>
      </c>
      <c r="D307" s="17" t="s">
        <v>429</v>
      </c>
      <c r="E307" s="18">
        <v>7000.0</v>
      </c>
    </row>
    <row r="308" ht="12.75" customHeight="1">
      <c r="A308" s="9" t="s">
        <v>1037</v>
      </c>
      <c r="B308" s="9" t="s">
        <v>397</v>
      </c>
      <c r="C308" s="9" t="s">
        <v>1038</v>
      </c>
      <c r="D308" s="9" t="s">
        <v>429</v>
      </c>
      <c r="E308" s="10">
        <v>14000.0</v>
      </c>
    </row>
    <row r="309" ht="12.75" customHeight="1">
      <c r="A309" s="17" t="s">
        <v>1039</v>
      </c>
      <c r="B309" s="17" t="s">
        <v>404</v>
      </c>
      <c r="C309" s="17" t="s">
        <v>1040</v>
      </c>
      <c r="D309" s="17" t="s">
        <v>431</v>
      </c>
      <c r="E309" s="18">
        <v>5000.0</v>
      </c>
    </row>
    <row r="310" ht="12.75" customHeight="1">
      <c r="A310" s="17" t="s">
        <v>1041</v>
      </c>
      <c r="B310" s="17" t="s">
        <v>578</v>
      </c>
      <c r="C310" s="17" t="s">
        <v>1042</v>
      </c>
      <c r="D310" s="17" t="s">
        <v>431</v>
      </c>
      <c r="E310" s="18">
        <v>5000.0</v>
      </c>
    </row>
    <row r="311" ht="12.75" customHeight="1">
      <c r="A311" s="17" t="s">
        <v>1043</v>
      </c>
      <c r="B311" s="17" t="s">
        <v>397</v>
      </c>
      <c r="C311" s="17" t="s">
        <v>1044</v>
      </c>
      <c r="D311" s="17" t="s">
        <v>429</v>
      </c>
      <c r="E311" s="18">
        <v>6000.0</v>
      </c>
    </row>
    <row r="312" ht="12.75" customHeight="1">
      <c r="A312" s="9" t="s">
        <v>1045</v>
      </c>
      <c r="B312" s="9" t="s">
        <v>725</v>
      </c>
      <c r="C312" s="9" t="s">
        <v>1046</v>
      </c>
      <c r="D312" s="9" t="s">
        <v>431</v>
      </c>
      <c r="E312" s="10">
        <v>5000.0</v>
      </c>
    </row>
    <row r="313" ht="12.75" customHeight="1">
      <c r="A313" s="9" t="s">
        <v>1047</v>
      </c>
      <c r="B313" s="9" t="s">
        <v>397</v>
      </c>
      <c r="C313" s="9" t="s">
        <v>1048</v>
      </c>
      <c r="D313" s="9" t="s">
        <v>429</v>
      </c>
      <c r="E313" s="10">
        <v>14000.0</v>
      </c>
    </row>
    <row r="314" ht="12.75" customHeight="1">
      <c r="A314" s="9" t="s">
        <v>1049</v>
      </c>
      <c r="B314" s="9" t="s">
        <v>941</v>
      </c>
      <c r="C314" s="9" t="s">
        <v>1050</v>
      </c>
      <c r="D314" s="9" t="s">
        <v>427</v>
      </c>
      <c r="E314" s="10">
        <v>30000.0</v>
      </c>
    </row>
    <row r="315" ht="12.75" customHeight="1">
      <c r="A315" s="17" t="s">
        <v>1051</v>
      </c>
      <c r="B315" s="17" t="s">
        <v>1052</v>
      </c>
      <c r="C315" s="17" t="s">
        <v>1053</v>
      </c>
      <c r="D315" s="17" t="s">
        <v>431</v>
      </c>
      <c r="E315" s="18">
        <v>5000.0</v>
      </c>
    </row>
    <row r="316" ht="12.75" customHeight="1">
      <c r="A316" s="17" t="s">
        <v>1054</v>
      </c>
      <c r="B316" s="17" t="s">
        <v>941</v>
      </c>
      <c r="C316" s="17" t="s">
        <v>1055</v>
      </c>
      <c r="D316" s="17" t="s">
        <v>427</v>
      </c>
      <c r="E316" s="18">
        <v>10000.0</v>
      </c>
    </row>
    <row r="317" ht="12.75" customHeight="1">
      <c r="A317" s="9" t="s">
        <v>1056</v>
      </c>
      <c r="B317" s="9" t="s">
        <v>1057</v>
      </c>
      <c r="C317" s="9" t="s">
        <v>1058</v>
      </c>
      <c r="D317" s="9" t="s">
        <v>431</v>
      </c>
      <c r="E317" s="10">
        <v>5000.0</v>
      </c>
    </row>
    <row r="318" ht="12.75" customHeight="1">
      <c r="A318" s="9" t="s">
        <v>1059</v>
      </c>
      <c r="B318" s="9" t="s">
        <v>722</v>
      </c>
      <c r="C318" s="9" t="s">
        <v>1060</v>
      </c>
      <c r="D318" s="9" t="s">
        <v>431</v>
      </c>
      <c r="E318" s="10">
        <v>5000.0</v>
      </c>
    </row>
    <row r="319" ht="12.75" customHeight="1">
      <c r="A319" s="9" t="s">
        <v>1061</v>
      </c>
      <c r="B319" s="9" t="s">
        <v>397</v>
      </c>
      <c r="C319" s="9" t="s">
        <v>1062</v>
      </c>
      <c r="D319" s="9" t="s">
        <v>429</v>
      </c>
      <c r="E319" s="10">
        <v>14000.0</v>
      </c>
    </row>
    <row r="320" ht="12.75" customHeight="1">
      <c r="A320" s="17" t="s">
        <v>1063</v>
      </c>
      <c r="B320" s="17" t="s">
        <v>578</v>
      </c>
      <c r="C320" s="17" t="s">
        <v>1064</v>
      </c>
      <c r="D320" s="17" t="s">
        <v>431</v>
      </c>
      <c r="E320" s="18">
        <v>5000.0</v>
      </c>
    </row>
    <row r="321" ht="12.75" customHeight="1">
      <c r="A321" s="17" t="s">
        <v>1065</v>
      </c>
      <c r="B321" s="17" t="s">
        <v>397</v>
      </c>
      <c r="C321" s="17" t="s">
        <v>1066</v>
      </c>
      <c r="D321" s="17" t="s">
        <v>429</v>
      </c>
      <c r="E321" s="18">
        <v>7000.0</v>
      </c>
    </row>
    <row r="322" ht="12.75" customHeight="1">
      <c r="A322" s="17" t="s">
        <v>1067</v>
      </c>
      <c r="B322" s="17" t="s">
        <v>578</v>
      </c>
      <c r="C322" s="17" t="s">
        <v>1068</v>
      </c>
      <c r="D322" s="17" t="s">
        <v>431</v>
      </c>
      <c r="E322" s="18">
        <v>5000.0</v>
      </c>
    </row>
    <row r="323" ht="12.75" customHeight="1">
      <c r="A323" s="17" t="s">
        <v>1069</v>
      </c>
      <c r="B323" s="17" t="s">
        <v>397</v>
      </c>
      <c r="C323" s="17" t="s">
        <v>1070</v>
      </c>
      <c r="D323" s="17" t="s">
        <v>429</v>
      </c>
      <c r="E323" s="18">
        <v>7000.0</v>
      </c>
    </row>
    <row r="324" ht="12.75" customHeight="1">
      <c r="A324" s="9" t="s">
        <v>1071</v>
      </c>
      <c r="B324" s="9" t="s">
        <v>1072</v>
      </c>
      <c r="C324" s="9" t="s">
        <v>1073</v>
      </c>
      <c r="D324" s="9" t="s">
        <v>431</v>
      </c>
      <c r="E324" s="10">
        <v>5000.0</v>
      </c>
    </row>
    <row r="325" ht="12.75" customHeight="1">
      <c r="A325" s="9" t="s">
        <v>1074</v>
      </c>
      <c r="B325" s="9" t="s">
        <v>397</v>
      </c>
      <c r="C325" s="9" t="s">
        <v>1075</v>
      </c>
      <c r="D325" s="9" t="s">
        <v>429</v>
      </c>
      <c r="E325" s="10">
        <v>7000.0</v>
      </c>
    </row>
    <row r="326" ht="12.75" customHeight="1">
      <c r="A326" s="17" t="s">
        <v>1076</v>
      </c>
      <c r="B326" s="17" t="s">
        <v>725</v>
      </c>
      <c r="C326" s="17" t="s">
        <v>1077</v>
      </c>
      <c r="D326" s="17" t="s">
        <v>431</v>
      </c>
      <c r="E326" s="18">
        <v>5000.0</v>
      </c>
    </row>
    <row r="327" ht="12.75" customHeight="1">
      <c r="A327" s="17" t="s">
        <v>1078</v>
      </c>
      <c r="B327" s="17" t="s">
        <v>397</v>
      </c>
      <c r="C327" s="17" t="s">
        <v>1079</v>
      </c>
      <c r="D327" s="17" t="s">
        <v>429</v>
      </c>
      <c r="E327" s="18">
        <v>14000.0</v>
      </c>
    </row>
    <row r="328" ht="12.75" customHeight="1">
      <c r="A328" s="9" t="s">
        <v>1080</v>
      </c>
      <c r="B328" s="9" t="s">
        <v>722</v>
      </c>
      <c r="C328" s="9" t="s">
        <v>1081</v>
      </c>
      <c r="D328" s="9" t="s">
        <v>431</v>
      </c>
      <c r="E328" s="10">
        <v>5000.0</v>
      </c>
    </row>
    <row r="329" ht="12.75" customHeight="1">
      <c r="A329" s="9" t="s">
        <v>1082</v>
      </c>
      <c r="B329" s="9" t="s">
        <v>397</v>
      </c>
      <c r="C329" s="9" t="s">
        <v>1083</v>
      </c>
      <c r="D329" s="9" t="s">
        <v>429</v>
      </c>
      <c r="E329" s="10">
        <v>14000.0</v>
      </c>
    </row>
    <row r="330" ht="12.75" customHeight="1">
      <c r="A330" s="17" t="s">
        <v>1084</v>
      </c>
      <c r="B330" s="17" t="s">
        <v>1085</v>
      </c>
      <c r="C330" s="17" t="s">
        <v>1086</v>
      </c>
      <c r="D330" s="17" t="s">
        <v>431</v>
      </c>
      <c r="E330" s="18">
        <v>20000.0</v>
      </c>
    </row>
    <row r="331" ht="12.75" customHeight="1">
      <c r="A331" s="9" t="s">
        <v>1087</v>
      </c>
      <c r="B331" s="9" t="s">
        <v>578</v>
      </c>
      <c r="C331" s="9" t="s">
        <v>1088</v>
      </c>
      <c r="D331" s="9" t="s">
        <v>431</v>
      </c>
      <c r="E331" s="10">
        <v>5000.0</v>
      </c>
    </row>
    <row r="332" ht="12.75" customHeight="1">
      <c r="A332" s="17" t="s">
        <v>1089</v>
      </c>
      <c r="B332" s="17" t="s">
        <v>397</v>
      </c>
      <c r="C332" s="17" t="s">
        <v>1090</v>
      </c>
      <c r="D332" s="17" t="s">
        <v>429</v>
      </c>
      <c r="E332" s="18">
        <v>6000.0</v>
      </c>
    </row>
    <row r="333" ht="12.75" customHeight="1">
      <c r="A333" s="9" t="s">
        <v>1091</v>
      </c>
      <c r="B333" s="9" t="s">
        <v>1092</v>
      </c>
      <c r="C333" s="9" t="s">
        <v>1093</v>
      </c>
      <c r="D333" s="9" t="s">
        <v>429</v>
      </c>
      <c r="E333" s="10">
        <v>80000.0</v>
      </c>
    </row>
    <row r="334" ht="12.75" customHeight="1">
      <c r="A334" s="17" t="s">
        <v>1094</v>
      </c>
      <c r="B334" s="17" t="s">
        <v>1095</v>
      </c>
      <c r="C334" s="17" t="s">
        <v>1096</v>
      </c>
      <c r="D334" s="17" t="s">
        <v>431</v>
      </c>
      <c r="E334" s="18">
        <v>5000.0</v>
      </c>
    </row>
    <row r="335" ht="12.75" customHeight="1">
      <c r="A335" s="9" t="s">
        <v>1097</v>
      </c>
      <c r="B335" s="9" t="s">
        <v>397</v>
      </c>
      <c r="C335" s="9" t="s">
        <v>1098</v>
      </c>
      <c r="D335" s="9" t="s">
        <v>429</v>
      </c>
      <c r="E335" s="10">
        <v>2000.0</v>
      </c>
    </row>
    <row r="336" ht="12.75" customHeight="1">
      <c r="A336" s="9" t="s">
        <v>1099</v>
      </c>
      <c r="B336" s="9" t="s">
        <v>1095</v>
      </c>
      <c r="C336" s="9" t="s">
        <v>1100</v>
      </c>
      <c r="D336" s="9" t="s">
        <v>431</v>
      </c>
      <c r="E336" s="10">
        <v>5000.0</v>
      </c>
    </row>
    <row r="337" ht="12.75" customHeight="1">
      <c r="A337" s="17" t="s">
        <v>1101</v>
      </c>
      <c r="B337" s="17" t="s">
        <v>397</v>
      </c>
      <c r="C337" s="17" t="s">
        <v>1102</v>
      </c>
      <c r="D337" s="17" t="s">
        <v>429</v>
      </c>
      <c r="E337" s="18">
        <v>1000.0</v>
      </c>
    </row>
    <row r="338" ht="12.75" customHeight="1">
      <c r="A338" s="17" t="s">
        <v>1103</v>
      </c>
      <c r="B338" s="17" t="s">
        <v>725</v>
      </c>
      <c r="C338" s="17" t="s">
        <v>1104</v>
      </c>
      <c r="D338" s="17" t="s">
        <v>431</v>
      </c>
      <c r="E338" s="18">
        <v>5000.0</v>
      </c>
    </row>
    <row r="339" ht="12.75" customHeight="1">
      <c r="A339" s="9" t="s">
        <v>1105</v>
      </c>
      <c r="B339" s="9" t="s">
        <v>397</v>
      </c>
      <c r="C339" s="9" t="s">
        <v>1106</v>
      </c>
      <c r="D339" s="9" t="s">
        <v>429</v>
      </c>
      <c r="E339" s="10">
        <v>14000.0</v>
      </c>
    </row>
    <row r="340" ht="12.75" customHeight="1">
      <c r="A340" s="9" t="s">
        <v>1107</v>
      </c>
      <c r="B340" s="9" t="s">
        <v>1108</v>
      </c>
      <c r="C340" s="9" t="s">
        <v>1109</v>
      </c>
      <c r="D340" s="9" t="s">
        <v>431</v>
      </c>
      <c r="E340" s="10">
        <v>5000.0</v>
      </c>
    </row>
    <row r="341" ht="12.75" customHeight="1">
      <c r="A341" s="17" t="s">
        <v>1110</v>
      </c>
      <c r="B341" s="17" t="s">
        <v>1111</v>
      </c>
      <c r="C341" s="17" t="s">
        <v>1112</v>
      </c>
      <c r="D341" s="17" t="s">
        <v>429</v>
      </c>
      <c r="E341" s="18">
        <v>16000.0</v>
      </c>
    </row>
    <row r="342" ht="12.75" customHeight="1">
      <c r="A342" s="17" t="s">
        <v>1113</v>
      </c>
      <c r="B342" s="17" t="s">
        <v>1114</v>
      </c>
      <c r="C342" s="17" t="s">
        <v>1115</v>
      </c>
      <c r="D342" s="17" t="s">
        <v>431</v>
      </c>
      <c r="E342" s="18">
        <v>5000.0</v>
      </c>
    </row>
    <row r="343" ht="12.75" customHeight="1">
      <c r="A343" s="9" t="s">
        <v>1116</v>
      </c>
      <c r="B343" s="9" t="s">
        <v>1117</v>
      </c>
      <c r="C343" s="9" t="s">
        <v>1118</v>
      </c>
      <c r="D343" s="9" t="s">
        <v>431</v>
      </c>
      <c r="E343" s="10">
        <v>10000.0</v>
      </c>
    </row>
    <row r="344" ht="12.75" customHeight="1">
      <c r="A344" s="17" t="s">
        <v>1119</v>
      </c>
      <c r="B344" s="17" t="s">
        <v>825</v>
      </c>
      <c r="C344" s="17" t="s">
        <v>1120</v>
      </c>
      <c r="D344" s="17" t="s">
        <v>431</v>
      </c>
      <c r="E344" s="18">
        <v>10000.0</v>
      </c>
    </row>
    <row r="345" ht="12.75" customHeight="1">
      <c r="A345" s="9" t="s">
        <v>1121</v>
      </c>
      <c r="B345" s="9" t="s">
        <v>36</v>
      </c>
      <c r="C345" s="9" t="s">
        <v>1118</v>
      </c>
      <c r="D345" s="9" t="s">
        <v>429</v>
      </c>
      <c r="E345" s="10">
        <v>10752.0</v>
      </c>
    </row>
    <row r="346" ht="12.75" customHeight="1">
      <c r="A346" s="17" t="s">
        <v>1122</v>
      </c>
      <c r="B346" s="17" t="s">
        <v>36</v>
      </c>
      <c r="C346" s="17" t="s">
        <v>1123</v>
      </c>
      <c r="D346" s="17" t="s">
        <v>429</v>
      </c>
      <c r="E346" s="18">
        <v>10752.0</v>
      </c>
    </row>
    <row r="347" ht="12.75" customHeight="1">
      <c r="A347" s="9" t="s">
        <v>1124</v>
      </c>
      <c r="B347" s="9" t="s">
        <v>1125</v>
      </c>
      <c r="C347" s="9" t="s">
        <v>1126</v>
      </c>
      <c r="D347" s="9" t="s">
        <v>431</v>
      </c>
      <c r="E347" s="10">
        <v>5000.0</v>
      </c>
    </row>
    <row r="348" ht="12.75" customHeight="1">
      <c r="A348" s="17" t="s">
        <v>1127</v>
      </c>
      <c r="B348" s="17" t="s">
        <v>663</v>
      </c>
      <c r="C348" s="17" t="s">
        <v>1128</v>
      </c>
      <c r="D348" s="17" t="s">
        <v>429</v>
      </c>
      <c r="E348" s="18">
        <v>29600.0</v>
      </c>
    </row>
    <row r="349" ht="12.75" customHeight="1">
      <c r="A349" s="17" t="s">
        <v>1129</v>
      </c>
      <c r="B349" s="17" t="s">
        <v>1130</v>
      </c>
      <c r="C349" s="17" t="s">
        <v>1131</v>
      </c>
      <c r="D349" s="17" t="s">
        <v>431</v>
      </c>
      <c r="E349" s="18">
        <v>5000.0</v>
      </c>
    </row>
    <row r="350" ht="12.75" customHeight="1">
      <c r="A350" s="9" t="s">
        <v>1132</v>
      </c>
      <c r="B350" s="9" t="s">
        <v>663</v>
      </c>
      <c r="C350" s="9" t="s">
        <v>1133</v>
      </c>
      <c r="D350" s="9" t="s">
        <v>429</v>
      </c>
      <c r="E350" s="10">
        <v>25384.0</v>
      </c>
    </row>
    <row r="351" ht="12.75" customHeight="1">
      <c r="A351" s="9" t="s">
        <v>1134</v>
      </c>
      <c r="B351" s="9" t="s">
        <v>1135</v>
      </c>
      <c r="C351" s="9" t="s">
        <v>1136</v>
      </c>
      <c r="D351" s="9" t="s">
        <v>431</v>
      </c>
      <c r="E351" s="10">
        <v>5000.0</v>
      </c>
    </row>
    <row r="352" ht="12.75" customHeight="1">
      <c r="A352" s="17" t="s">
        <v>1137</v>
      </c>
      <c r="B352" s="17" t="s">
        <v>663</v>
      </c>
      <c r="C352" s="17" t="s">
        <v>1138</v>
      </c>
      <c r="D352" s="17" t="s">
        <v>429</v>
      </c>
      <c r="E352" s="18">
        <v>31800.0</v>
      </c>
    </row>
    <row r="353" ht="12.75" customHeight="1">
      <c r="A353" s="17" t="s">
        <v>1139</v>
      </c>
      <c r="B353" s="17" t="s">
        <v>1140</v>
      </c>
      <c r="C353" s="17" t="s">
        <v>1141</v>
      </c>
      <c r="D353" s="17" t="s">
        <v>429</v>
      </c>
      <c r="E353" s="18">
        <v>5000.0</v>
      </c>
    </row>
    <row r="354" ht="12.75" customHeight="1">
      <c r="A354" s="9" t="s">
        <v>1139</v>
      </c>
      <c r="B354" s="9" t="s">
        <v>1142</v>
      </c>
      <c r="C354" s="9" t="s">
        <v>1143</v>
      </c>
      <c r="D354" s="9" t="s">
        <v>429</v>
      </c>
      <c r="E354" s="10">
        <v>3500.0</v>
      </c>
    </row>
    <row r="355" ht="12.75" customHeight="1">
      <c r="A355" s="17" t="s">
        <v>1139</v>
      </c>
      <c r="B355" s="17" t="s">
        <v>1142</v>
      </c>
      <c r="C355" s="17" t="s">
        <v>1144</v>
      </c>
      <c r="D355" s="17" t="s">
        <v>429</v>
      </c>
      <c r="E355" s="18">
        <v>3500.0</v>
      </c>
    </row>
    <row r="356" ht="12.75" customHeight="1">
      <c r="A356" s="17" t="s">
        <v>1139</v>
      </c>
      <c r="B356" s="17" t="s">
        <v>1145</v>
      </c>
      <c r="C356" s="17" t="s">
        <v>1146</v>
      </c>
      <c r="D356" s="17" t="s">
        <v>429</v>
      </c>
      <c r="E356" s="18">
        <v>2000.0</v>
      </c>
    </row>
    <row r="357" ht="12.75" customHeight="1">
      <c r="A357" s="9" t="s">
        <v>1139</v>
      </c>
      <c r="B357" s="9" t="s">
        <v>1145</v>
      </c>
      <c r="C357" s="9" t="s">
        <v>1147</v>
      </c>
      <c r="D357" s="9" t="s">
        <v>429</v>
      </c>
      <c r="E357" s="10">
        <v>2000.0</v>
      </c>
    </row>
    <row r="358" ht="12.75" customHeight="1">
      <c r="A358" s="17" t="s">
        <v>1139</v>
      </c>
      <c r="B358" s="17" t="s">
        <v>1145</v>
      </c>
      <c r="C358" s="17" t="s">
        <v>1148</v>
      </c>
      <c r="D358" s="17" t="s">
        <v>429</v>
      </c>
      <c r="E358" s="18">
        <v>2000.0</v>
      </c>
    </row>
    <row r="359" ht="12.75" customHeight="1">
      <c r="A359" s="17" t="s">
        <v>1149</v>
      </c>
      <c r="B359" s="17" t="s">
        <v>485</v>
      </c>
      <c r="C359" s="17" t="s">
        <v>1150</v>
      </c>
      <c r="D359" s="17" t="s">
        <v>431</v>
      </c>
      <c r="E359" s="18">
        <v>5000.0</v>
      </c>
    </row>
    <row r="360" ht="12.75" customHeight="1">
      <c r="A360" s="9" t="s">
        <v>1151</v>
      </c>
      <c r="B360" s="9" t="s">
        <v>485</v>
      </c>
      <c r="C360" s="9" t="s">
        <v>1152</v>
      </c>
      <c r="D360" s="9" t="s">
        <v>431</v>
      </c>
      <c r="E360" s="10">
        <v>5000.0</v>
      </c>
    </row>
    <row r="361" ht="12.75" customHeight="1">
      <c r="A361" s="17" t="s">
        <v>1153</v>
      </c>
      <c r="B361" s="17" t="s">
        <v>485</v>
      </c>
      <c r="C361" s="17" t="s">
        <v>1154</v>
      </c>
      <c r="D361" s="17" t="s">
        <v>431</v>
      </c>
      <c r="E361" s="18">
        <v>5000.0</v>
      </c>
    </row>
    <row r="362" ht="12.75" customHeight="1">
      <c r="A362" s="9" t="s">
        <v>1155</v>
      </c>
      <c r="B362" s="9" t="s">
        <v>36</v>
      </c>
      <c r="C362" s="9" t="s">
        <v>1156</v>
      </c>
      <c r="D362" s="9" t="s">
        <v>429</v>
      </c>
      <c r="E362" s="10">
        <v>10400.0</v>
      </c>
    </row>
    <row r="363" ht="12.75" customHeight="1">
      <c r="A363" s="9" t="s">
        <v>1157</v>
      </c>
      <c r="B363" s="9" t="s">
        <v>1158</v>
      </c>
      <c r="C363" s="9" t="s">
        <v>1159</v>
      </c>
      <c r="D363" s="9" t="s">
        <v>431</v>
      </c>
      <c r="E363" s="10">
        <v>10000.0</v>
      </c>
    </row>
    <row r="364" ht="12.75" customHeight="1">
      <c r="A364" s="17" t="s">
        <v>1160</v>
      </c>
      <c r="B364" s="17" t="s">
        <v>1161</v>
      </c>
      <c r="C364" s="17" t="s">
        <v>1162</v>
      </c>
      <c r="D364" s="17" t="s">
        <v>431</v>
      </c>
      <c r="E364" s="18">
        <v>5000.0</v>
      </c>
    </row>
    <row r="365" ht="12.75" customHeight="1">
      <c r="A365" s="9" t="s">
        <v>1163</v>
      </c>
      <c r="B365" s="9" t="s">
        <v>1164</v>
      </c>
      <c r="C365" s="9" t="s">
        <v>1165</v>
      </c>
      <c r="D365" s="9" t="s">
        <v>429</v>
      </c>
      <c r="E365" s="10">
        <v>62000.0</v>
      </c>
    </row>
    <row r="366" ht="12.75" customHeight="1">
      <c r="A366" s="9" t="s">
        <v>1166</v>
      </c>
      <c r="B366" s="9" t="s">
        <v>1167</v>
      </c>
      <c r="C366" s="9" t="s">
        <v>1168</v>
      </c>
      <c r="D366" s="9" t="s">
        <v>431</v>
      </c>
      <c r="E366" s="10">
        <v>5000.0</v>
      </c>
    </row>
    <row r="367" ht="12.75" customHeight="1">
      <c r="A367" s="17" t="s">
        <v>1169</v>
      </c>
      <c r="B367" s="17" t="s">
        <v>1170</v>
      </c>
      <c r="C367" s="17" t="s">
        <v>1171</v>
      </c>
      <c r="D367" s="17" t="s">
        <v>431</v>
      </c>
      <c r="E367" s="18">
        <v>5000.0</v>
      </c>
    </row>
    <row r="368" ht="12.75" customHeight="1">
      <c r="A368" s="17" t="s">
        <v>1172</v>
      </c>
      <c r="B368" s="17" t="s">
        <v>863</v>
      </c>
      <c r="C368" s="17" t="s">
        <v>1173</v>
      </c>
      <c r="D368" s="17" t="s">
        <v>429</v>
      </c>
      <c r="E368" s="18">
        <v>12800.0</v>
      </c>
    </row>
    <row r="369" ht="12.75" customHeight="1">
      <c r="A369" s="9" t="s">
        <v>1174</v>
      </c>
      <c r="B369" s="9" t="s">
        <v>608</v>
      </c>
      <c r="C369" s="9" t="s">
        <v>1175</v>
      </c>
      <c r="D369" s="9" t="s">
        <v>431</v>
      </c>
      <c r="E369" s="10">
        <v>5000.0</v>
      </c>
    </row>
    <row r="370" ht="12.75" customHeight="1">
      <c r="A370" s="9" t="s">
        <v>1176</v>
      </c>
      <c r="B370" s="9" t="s">
        <v>293</v>
      </c>
      <c r="C370" s="9" t="s">
        <v>1177</v>
      </c>
      <c r="D370" s="9" t="s">
        <v>429</v>
      </c>
      <c r="E370" s="10">
        <v>64000.0</v>
      </c>
    </row>
    <row r="371" ht="12.75" customHeight="1">
      <c r="A371" s="17" t="s">
        <v>1178</v>
      </c>
      <c r="B371" s="17" t="s">
        <v>1179</v>
      </c>
      <c r="C371" s="17" t="s">
        <v>1180</v>
      </c>
      <c r="D371" s="17" t="s">
        <v>431</v>
      </c>
      <c r="E371" s="18">
        <v>10000.0</v>
      </c>
    </row>
    <row r="372" ht="12.75" customHeight="1">
      <c r="A372" s="9" t="s">
        <v>1181</v>
      </c>
      <c r="B372" s="9" t="s">
        <v>873</v>
      </c>
      <c r="C372" s="9" t="s">
        <v>1182</v>
      </c>
      <c r="D372" s="9" t="s">
        <v>429</v>
      </c>
      <c r="E372" s="10">
        <v>24000.0</v>
      </c>
    </row>
    <row r="373" ht="12.75" customHeight="1">
      <c r="A373" s="17" t="s">
        <v>1183</v>
      </c>
      <c r="B373" s="17" t="s">
        <v>1184</v>
      </c>
      <c r="C373" s="17" t="s">
        <v>1185</v>
      </c>
      <c r="D373" s="17" t="s">
        <v>428</v>
      </c>
      <c r="E373" s="18">
        <v>210000.0</v>
      </c>
    </row>
    <row r="374" ht="25.5" customHeight="1">
      <c r="A374" s="9" t="s">
        <v>1186</v>
      </c>
      <c r="B374" s="9" t="s">
        <v>88</v>
      </c>
      <c r="C374" s="22" t="s">
        <v>1315</v>
      </c>
      <c r="D374" s="9" t="s">
        <v>428</v>
      </c>
      <c r="E374" s="27">
        <v>378000.0</v>
      </c>
    </row>
    <row r="375" ht="12.75" customHeight="1">
      <c r="A375" s="17" t="s">
        <v>1188</v>
      </c>
      <c r="B375" s="17" t="s">
        <v>88</v>
      </c>
      <c r="C375" s="17" t="s">
        <v>1189</v>
      </c>
      <c r="D375" s="17" t="s">
        <v>428</v>
      </c>
      <c r="E375" s="18">
        <v>210000.0</v>
      </c>
    </row>
    <row r="376" ht="12.75" customHeight="1">
      <c r="A376" s="9" t="s">
        <v>1190</v>
      </c>
      <c r="B376" s="9" t="s">
        <v>1191</v>
      </c>
      <c r="C376" s="9" t="s">
        <v>1192</v>
      </c>
      <c r="D376" s="9" t="s">
        <v>428</v>
      </c>
      <c r="E376" s="10">
        <v>406000.0</v>
      </c>
    </row>
    <row r="377" ht="12.75" customHeight="1">
      <c r="A377" s="9" t="s">
        <v>1193</v>
      </c>
      <c r="B377" s="9" t="s">
        <v>1194</v>
      </c>
      <c r="C377" s="9" t="s">
        <v>1195</v>
      </c>
      <c r="D377" s="9" t="s">
        <v>428</v>
      </c>
      <c r="E377" s="10">
        <v>238000.0</v>
      </c>
    </row>
    <row r="378" ht="12.75" customHeight="1">
      <c r="A378" s="9" t="s">
        <v>1196</v>
      </c>
      <c r="B378" s="9" t="s">
        <v>512</v>
      </c>
      <c r="C378" s="9" t="s">
        <v>1197</v>
      </c>
      <c r="D378" s="9" t="s">
        <v>431</v>
      </c>
      <c r="E378" s="10">
        <v>10000.0</v>
      </c>
    </row>
    <row r="379" ht="12.75" customHeight="1">
      <c r="A379" s="9" t="s">
        <v>1198</v>
      </c>
      <c r="B379" s="9" t="s">
        <v>787</v>
      </c>
      <c r="C379" s="9" t="s">
        <v>1199</v>
      </c>
      <c r="D379" s="9" t="s">
        <v>429</v>
      </c>
      <c r="E379" s="10">
        <v>37848.0</v>
      </c>
    </row>
    <row r="380" ht="12.75" customHeight="1">
      <c r="A380" s="17" t="s">
        <v>1200</v>
      </c>
      <c r="B380" s="17" t="s">
        <v>1201</v>
      </c>
      <c r="C380" s="17" t="s">
        <v>1202</v>
      </c>
      <c r="D380" s="17" t="s">
        <v>431</v>
      </c>
      <c r="E380" s="18">
        <v>5000.0</v>
      </c>
    </row>
    <row r="381" ht="12.75" customHeight="1">
      <c r="A381" s="9" t="s">
        <v>1203</v>
      </c>
      <c r="B381" s="9" t="s">
        <v>938</v>
      </c>
      <c r="C381" s="9" t="s">
        <v>1204</v>
      </c>
      <c r="D381" s="9" t="s">
        <v>427</v>
      </c>
      <c r="E381" s="10">
        <v>56000.0</v>
      </c>
    </row>
    <row r="382" ht="12.75" customHeight="1">
      <c r="A382" s="9" t="s">
        <v>1205</v>
      </c>
      <c r="B382" s="9" t="s">
        <v>1206</v>
      </c>
      <c r="C382" s="9" t="s">
        <v>1207</v>
      </c>
      <c r="D382" s="9" t="s">
        <v>431</v>
      </c>
      <c r="E382" s="10">
        <v>15000.0</v>
      </c>
    </row>
    <row r="383" ht="12.75" customHeight="1">
      <c r="A383" s="17" t="s">
        <v>1208</v>
      </c>
      <c r="B383" s="17" t="s">
        <v>1209</v>
      </c>
      <c r="C383" s="17" t="s">
        <v>1210</v>
      </c>
      <c r="D383" s="17" t="s">
        <v>431</v>
      </c>
      <c r="E383" s="18">
        <v>10000.0</v>
      </c>
    </row>
    <row r="384" ht="12.75" customHeight="1">
      <c r="A384" s="9" t="s">
        <v>1211</v>
      </c>
      <c r="B384" s="9" t="s">
        <v>863</v>
      </c>
      <c r="C384" s="9" t="s">
        <v>1212</v>
      </c>
      <c r="D384" s="9" t="s">
        <v>429</v>
      </c>
      <c r="E384" s="10">
        <v>12800.0</v>
      </c>
    </row>
    <row r="385" ht="12.75" customHeight="1">
      <c r="A385" s="17" t="s">
        <v>1213</v>
      </c>
      <c r="B385" s="17" t="s">
        <v>1214</v>
      </c>
      <c r="C385" s="17" t="s">
        <v>1215</v>
      </c>
      <c r="D385" s="17" t="s">
        <v>429</v>
      </c>
      <c r="E385" s="18">
        <v>70988.0</v>
      </c>
    </row>
    <row r="386" ht="12.75" customHeight="1">
      <c r="A386" s="9" t="s">
        <v>1216</v>
      </c>
      <c r="B386" s="9" t="s">
        <v>893</v>
      </c>
      <c r="C386" s="9" t="s">
        <v>1217</v>
      </c>
      <c r="D386" s="9" t="s">
        <v>431</v>
      </c>
      <c r="E386" s="10">
        <v>5000.0</v>
      </c>
    </row>
    <row r="387" ht="12.75" customHeight="1">
      <c r="A387" s="17" t="s">
        <v>1218</v>
      </c>
      <c r="B387" s="17" t="s">
        <v>1219</v>
      </c>
      <c r="C387" s="17" t="s">
        <v>1220</v>
      </c>
      <c r="D387" s="17" t="s">
        <v>431</v>
      </c>
      <c r="E387" s="18">
        <v>5000.0</v>
      </c>
    </row>
    <row r="388" ht="12.75" customHeight="1">
      <c r="A388" s="17" t="s">
        <v>1221</v>
      </c>
      <c r="B388" s="17" t="s">
        <v>863</v>
      </c>
      <c r="C388" s="17" t="s">
        <v>1222</v>
      </c>
      <c r="D388" s="17" t="s">
        <v>429</v>
      </c>
      <c r="E388" s="18">
        <v>12800.0</v>
      </c>
    </row>
    <row r="389" ht="12.75" customHeight="1">
      <c r="A389" s="9" t="s">
        <v>1223</v>
      </c>
      <c r="B389" s="9" t="s">
        <v>88</v>
      </c>
      <c r="C389" s="9" t="s">
        <v>1224</v>
      </c>
      <c r="D389" s="9" t="s">
        <v>428</v>
      </c>
      <c r="E389" s="10">
        <v>266000.0</v>
      </c>
    </row>
    <row r="390" ht="12.75" customHeight="1">
      <c r="A390" s="9" t="s">
        <v>1225</v>
      </c>
      <c r="B390" s="9" t="s">
        <v>843</v>
      </c>
      <c r="C390" s="9" t="s">
        <v>1226</v>
      </c>
      <c r="D390" s="9" t="s">
        <v>431</v>
      </c>
      <c r="E390" s="10">
        <v>5000.0</v>
      </c>
    </row>
    <row r="391" ht="12.75" customHeight="1">
      <c r="A391" s="17" t="s">
        <v>1227</v>
      </c>
      <c r="B391" s="17" t="s">
        <v>293</v>
      </c>
      <c r="C391" s="17" t="s">
        <v>1228</v>
      </c>
      <c r="D391" s="17" t="s">
        <v>429</v>
      </c>
      <c r="E391" s="18">
        <v>12800.0</v>
      </c>
    </row>
    <row r="392" ht="12.75" customHeight="1">
      <c r="A392" s="17" t="s">
        <v>1229</v>
      </c>
      <c r="B392" s="17" t="s">
        <v>480</v>
      </c>
      <c r="C392" s="17" t="s">
        <v>1230</v>
      </c>
      <c r="D392" s="17" t="s">
        <v>429</v>
      </c>
      <c r="E392" s="18">
        <v>3200.0</v>
      </c>
    </row>
    <row r="393" ht="12.75" customHeight="1">
      <c r="A393" s="9" t="s">
        <v>1231</v>
      </c>
      <c r="B393" s="9" t="s">
        <v>480</v>
      </c>
      <c r="C393" s="9" t="s">
        <v>1232</v>
      </c>
      <c r="D393" s="9" t="s">
        <v>429</v>
      </c>
      <c r="E393" s="10">
        <v>6000.0</v>
      </c>
    </row>
    <row r="394" ht="12.75" customHeight="1">
      <c r="A394" s="17" t="s">
        <v>1233</v>
      </c>
      <c r="B394" s="17" t="s">
        <v>1234</v>
      </c>
      <c r="C394" s="17" t="s">
        <v>1235</v>
      </c>
      <c r="D394" s="17" t="s">
        <v>431</v>
      </c>
      <c r="E394" s="18">
        <v>5000.0</v>
      </c>
    </row>
    <row r="395" ht="12.75" customHeight="1">
      <c r="A395" s="17" t="s">
        <v>1236</v>
      </c>
      <c r="B395" s="17" t="s">
        <v>480</v>
      </c>
      <c r="C395" s="17" t="s">
        <v>1237</v>
      </c>
      <c r="D395" s="17" t="s">
        <v>429</v>
      </c>
      <c r="E395" s="18">
        <v>4000.0</v>
      </c>
    </row>
    <row r="396" ht="12.75" customHeight="1">
      <c r="A396" s="9" t="s">
        <v>1238</v>
      </c>
      <c r="B396" s="9" t="s">
        <v>1239</v>
      </c>
      <c r="C396" s="9" t="s">
        <v>1240</v>
      </c>
      <c r="D396" s="9" t="s">
        <v>431</v>
      </c>
      <c r="E396" s="10">
        <v>5000.0</v>
      </c>
    </row>
    <row r="397" ht="12.75" customHeight="1">
      <c r="A397" s="17" t="s">
        <v>1241</v>
      </c>
      <c r="B397" s="17" t="s">
        <v>1242</v>
      </c>
      <c r="C397" s="17" t="s">
        <v>1243</v>
      </c>
      <c r="D397" s="17" t="s">
        <v>429</v>
      </c>
      <c r="E397" s="18">
        <v>35000.0</v>
      </c>
    </row>
    <row r="398" ht="12.75" customHeight="1">
      <c r="A398" s="17" t="s">
        <v>1244</v>
      </c>
      <c r="B398" s="17" t="s">
        <v>1245</v>
      </c>
      <c r="C398" s="17" t="s">
        <v>1246</v>
      </c>
      <c r="D398" s="17" t="s">
        <v>431</v>
      </c>
      <c r="E398" s="18">
        <v>15000.0</v>
      </c>
    </row>
    <row r="399" ht="12.75" customHeight="1">
      <c r="A399" s="9" t="s">
        <v>1247</v>
      </c>
      <c r="B399" s="9" t="s">
        <v>1248</v>
      </c>
      <c r="C399" s="9" t="s">
        <v>1249</v>
      </c>
      <c r="D399" s="9" t="s">
        <v>431</v>
      </c>
      <c r="E399" s="10">
        <v>5000.0</v>
      </c>
    </row>
    <row r="400" ht="12.75" customHeight="1">
      <c r="A400" s="9" t="s">
        <v>1250</v>
      </c>
      <c r="B400" s="9" t="s">
        <v>1251</v>
      </c>
      <c r="C400" s="9" t="s">
        <v>1251</v>
      </c>
      <c r="D400" s="9" t="s">
        <v>429</v>
      </c>
      <c r="E400" s="10">
        <v>54140.0</v>
      </c>
    </row>
    <row r="401" ht="12.75" customHeight="1">
      <c r="A401" s="17" t="s">
        <v>1252</v>
      </c>
      <c r="B401" s="17" t="s">
        <v>1253</v>
      </c>
      <c r="C401" s="17" t="s">
        <v>1254</v>
      </c>
      <c r="D401" s="17" t="s">
        <v>429</v>
      </c>
      <c r="E401" s="18">
        <v>2540.0</v>
      </c>
    </row>
    <row r="402" ht="12.75" customHeight="1">
      <c r="A402" s="17" t="s">
        <v>1255</v>
      </c>
      <c r="B402" s="17" t="s">
        <v>1194</v>
      </c>
      <c r="C402" s="17" t="s">
        <v>1256</v>
      </c>
      <c r="D402" s="17" t="s">
        <v>428</v>
      </c>
      <c r="E402" s="18">
        <v>210000.0</v>
      </c>
    </row>
    <row r="403" ht="12.75" customHeight="1">
      <c r="A403" s="17" t="s">
        <v>1257</v>
      </c>
      <c r="B403" s="17" t="s">
        <v>1258</v>
      </c>
      <c r="C403" s="17" t="s">
        <v>1259</v>
      </c>
      <c r="D403" s="17" t="s">
        <v>431</v>
      </c>
      <c r="E403" s="18">
        <v>15000.0</v>
      </c>
    </row>
    <row r="404" ht="12.75" customHeight="1">
      <c r="A404" s="9" t="s">
        <v>1260</v>
      </c>
      <c r="B404" s="9" t="s">
        <v>199</v>
      </c>
      <c r="C404" s="9" t="s">
        <v>1261</v>
      </c>
      <c r="D404" s="9" t="s">
        <v>429</v>
      </c>
      <c r="E404" s="10">
        <v>12800.0</v>
      </c>
    </row>
    <row r="405" ht="12.75" customHeight="1">
      <c r="A405" s="9" t="s">
        <v>1262</v>
      </c>
      <c r="B405" s="9" t="s">
        <v>1263</v>
      </c>
      <c r="C405" s="9" t="s">
        <v>1264</v>
      </c>
      <c r="D405" s="9" t="s">
        <v>431</v>
      </c>
      <c r="E405" s="10">
        <v>5000.0</v>
      </c>
    </row>
    <row r="406" ht="12.75" customHeight="1">
      <c r="A406" s="17" t="s">
        <v>1265</v>
      </c>
      <c r="B406" s="17" t="s">
        <v>1266</v>
      </c>
      <c r="C406" s="17" t="s">
        <v>1267</v>
      </c>
      <c r="D406" s="17" t="s">
        <v>431</v>
      </c>
      <c r="E406" s="18">
        <v>15000.0</v>
      </c>
    </row>
    <row r="407" ht="12.75" customHeight="1">
      <c r="A407" s="9" t="s">
        <v>1268</v>
      </c>
      <c r="B407" s="9" t="s">
        <v>1269</v>
      </c>
      <c r="C407" s="9" t="s">
        <v>1270</v>
      </c>
      <c r="D407" s="9" t="s">
        <v>429</v>
      </c>
      <c r="E407" s="10">
        <v>29346.0</v>
      </c>
    </row>
    <row r="408" ht="12.75" customHeight="1">
      <c r="A408" s="9" t="s">
        <v>1271</v>
      </c>
      <c r="B408" s="9" t="s">
        <v>1272</v>
      </c>
      <c r="C408" s="9" t="s">
        <v>1273</v>
      </c>
      <c r="D408" s="9" t="s">
        <v>430</v>
      </c>
      <c r="E408" s="10">
        <v>120000.0</v>
      </c>
    </row>
    <row r="409" ht="12.75" customHeight="1">
      <c r="A409" s="17" t="s">
        <v>1274</v>
      </c>
      <c r="B409" s="17" t="s">
        <v>1275</v>
      </c>
      <c r="C409" s="17" t="s">
        <v>1276</v>
      </c>
      <c r="D409" s="17" t="s">
        <v>430</v>
      </c>
      <c r="E409" s="18">
        <v>119998.0</v>
      </c>
    </row>
    <row r="410" ht="12.75" customHeight="1">
      <c r="A410" s="9" t="s">
        <v>1277</v>
      </c>
      <c r="B410" s="9" t="s">
        <v>1278</v>
      </c>
      <c r="C410" s="9" t="s">
        <v>1279</v>
      </c>
      <c r="D410" s="9" t="s">
        <v>430</v>
      </c>
      <c r="E410" s="10">
        <v>100000.0</v>
      </c>
    </row>
    <row r="411" ht="12.75" customHeight="1">
      <c r="A411" s="9" t="s">
        <v>1280</v>
      </c>
      <c r="B411" s="9" t="s">
        <v>1281</v>
      </c>
      <c r="C411" s="9" t="s">
        <v>1282</v>
      </c>
      <c r="D411" s="9" t="s">
        <v>431</v>
      </c>
      <c r="E411" s="10">
        <v>10000.0</v>
      </c>
    </row>
    <row r="412" ht="12.75" customHeight="1">
      <c r="A412" s="17" t="s">
        <v>1283</v>
      </c>
      <c r="B412" s="17" t="s">
        <v>941</v>
      </c>
      <c r="C412" s="17" t="s">
        <v>1284</v>
      </c>
      <c r="D412" s="17" t="s">
        <v>427</v>
      </c>
      <c r="E412" s="18">
        <v>10000.0</v>
      </c>
    </row>
    <row r="413" ht="12.75" customHeight="1">
      <c r="A413" s="17" t="s">
        <v>1285</v>
      </c>
      <c r="B413" s="17" t="s">
        <v>1286</v>
      </c>
      <c r="C413" s="17" t="s">
        <v>1287</v>
      </c>
      <c r="D413" s="17" t="s">
        <v>431</v>
      </c>
      <c r="E413" s="18">
        <v>5000.0</v>
      </c>
    </row>
    <row r="414" ht="12.75" customHeight="1">
      <c r="A414" s="9" t="s">
        <v>1288</v>
      </c>
      <c r="B414" s="9" t="s">
        <v>541</v>
      </c>
      <c r="C414" s="9" t="s">
        <v>1289</v>
      </c>
      <c r="D414" s="9" t="s">
        <v>429</v>
      </c>
      <c r="E414" s="10">
        <v>29000.0</v>
      </c>
    </row>
    <row r="415" ht="12.75" customHeight="1">
      <c r="A415" s="9" t="s">
        <v>1290</v>
      </c>
      <c r="B415" s="9" t="s">
        <v>1291</v>
      </c>
      <c r="C415" s="9" t="s">
        <v>1292</v>
      </c>
      <c r="D415" s="9" t="s">
        <v>431</v>
      </c>
      <c r="E415" s="10">
        <v>5000.0</v>
      </c>
    </row>
    <row r="416" ht="12.75" customHeight="1">
      <c r="A416" s="9" t="s">
        <v>1293</v>
      </c>
      <c r="B416" s="9" t="s">
        <v>293</v>
      </c>
      <c r="C416" s="9" t="s">
        <v>1294</v>
      </c>
      <c r="D416" s="9" t="s">
        <v>429</v>
      </c>
      <c r="E416" s="10">
        <v>12800.0</v>
      </c>
    </row>
    <row r="417" ht="12.75" customHeight="1">
      <c r="A417" s="17" t="s">
        <v>1295</v>
      </c>
      <c r="B417" s="17" t="s">
        <v>1296</v>
      </c>
      <c r="C417" s="17" t="s">
        <v>1297</v>
      </c>
      <c r="D417" s="17" t="s">
        <v>431</v>
      </c>
      <c r="E417" s="18">
        <v>5000.0</v>
      </c>
    </row>
    <row r="418" ht="12.75" customHeight="1">
      <c r="A418" s="17" t="s">
        <v>1298</v>
      </c>
      <c r="B418" s="17" t="s">
        <v>1299</v>
      </c>
      <c r="C418" s="17" t="s">
        <v>1300</v>
      </c>
      <c r="D418" s="17" t="s">
        <v>429</v>
      </c>
      <c r="E418" s="18">
        <v>14520.0</v>
      </c>
    </row>
    <row r="419" ht="12.75" customHeight="1">
      <c r="D419" s="13"/>
      <c r="E419" s="8">
        <f>SUM(E1:E418)</f>
        <v>10939204</v>
      </c>
    </row>
    <row r="420" ht="12.75" customHeight="1">
      <c r="D420" s="13"/>
      <c r="E420" s="8"/>
    </row>
    <row r="421" ht="12.75" customHeight="1">
      <c r="D421" s="13"/>
      <c r="E421" s="8"/>
    </row>
    <row r="422" ht="12.75" customHeight="1">
      <c r="D422" s="13"/>
      <c r="E422" s="8"/>
    </row>
    <row r="423" ht="12.75" customHeight="1">
      <c r="D423" s="13"/>
      <c r="E423" s="8"/>
    </row>
    <row r="424" ht="12.75" customHeight="1">
      <c r="D424" s="13"/>
      <c r="E424" s="8"/>
    </row>
    <row r="425" ht="12.75" customHeight="1">
      <c r="D425" s="13"/>
      <c r="E425" s="8"/>
    </row>
    <row r="426" ht="12.75" customHeight="1">
      <c r="D426" s="13"/>
      <c r="E426" s="8"/>
    </row>
    <row r="427" ht="12.75" customHeight="1">
      <c r="D427" s="13"/>
      <c r="E427" s="8"/>
    </row>
    <row r="428" ht="12.75" customHeight="1">
      <c r="D428" s="13"/>
      <c r="E428" s="8"/>
    </row>
    <row r="429" ht="12.75" customHeight="1">
      <c r="D429" s="13"/>
      <c r="E429" s="8"/>
    </row>
    <row r="430" ht="12.75" customHeight="1">
      <c r="D430" s="13"/>
      <c r="E430" s="8"/>
    </row>
    <row r="431" ht="12.75" customHeight="1">
      <c r="D431" s="13"/>
      <c r="E431" s="8"/>
    </row>
    <row r="432" ht="12.75" customHeight="1">
      <c r="D432" s="13"/>
      <c r="E432" s="8"/>
    </row>
    <row r="433" ht="12.75" customHeight="1">
      <c r="D433" s="13"/>
      <c r="E433" s="8"/>
    </row>
    <row r="434" ht="12.75" customHeight="1">
      <c r="D434" s="13"/>
      <c r="E434" s="8"/>
    </row>
    <row r="435" ht="12.75" customHeight="1">
      <c r="D435" s="13"/>
      <c r="E435" s="8"/>
    </row>
    <row r="436" ht="12.75" customHeight="1">
      <c r="D436" s="13"/>
      <c r="E436" s="8"/>
    </row>
    <row r="437" ht="12.75" customHeight="1">
      <c r="D437" s="13"/>
      <c r="E437" s="8"/>
    </row>
    <row r="438" ht="12.75" customHeight="1">
      <c r="D438" s="13"/>
      <c r="E438" s="8"/>
    </row>
    <row r="439" ht="12.75" customHeight="1">
      <c r="D439" s="13"/>
      <c r="E439" s="8"/>
    </row>
    <row r="440" ht="12.75" customHeight="1">
      <c r="D440" s="13"/>
      <c r="E440" s="8"/>
    </row>
    <row r="441" ht="12.75" customHeight="1">
      <c r="D441" s="13"/>
      <c r="E441" s="8"/>
    </row>
    <row r="442" ht="12.75" customHeight="1">
      <c r="D442" s="13"/>
      <c r="E442" s="8"/>
    </row>
    <row r="443" ht="12.75" customHeight="1">
      <c r="D443" s="13"/>
      <c r="E443" s="8"/>
    </row>
    <row r="444" ht="12.75" customHeight="1">
      <c r="D444" s="13"/>
      <c r="E444" s="8"/>
    </row>
    <row r="445" ht="12.75" customHeight="1">
      <c r="D445" s="13"/>
      <c r="E445" s="8"/>
    </row>
    <row r="446" ht="12.75" customHeight="1">
      <c r="D446" s="13"/>
      <c r="E446" s="8"/>
    </row>
    <row r="447" ht="12.75" customHeight="1">
      <c r="D447" s="13"/>
      <c r="E447" s="8"/>
    </row>
    <row r="448" ht="12.75" customHeight="1">
      <c r="D448" s="13"/>
      <c r="E448" s="8"/>
    </row>
    <row r="449" ht="12.75" customHeight="1">
      <c r="D449" s="13"/>
      <c r="E449" s="8"/>
    </row>
    <row r="450" ht="12.75" customHeight="1">
      <c r="D450" s="13"/>
      <c r="E450" s="8"/>
    </row>
    <row r="451" ht="12.75" customHeight="1">
      <c r="D451" s="13"/>
      <c r="E451" s="8"/>
    </row>
    <row r="452" ht="12.75" customHeight="1">
      <c r="D452" s="13"/>
      <c r="E452" s="8"/>
    </row>
    <row r="453" ht="12.75" customHeight="1">
      <c r="D453" s="13"/>
      <c r="E453" s="8"/>
    </row>
    <row r="454" ht="12.75" customHeight="1">
      <c r="D454" s="13"/>
      <c r="E454" s="8"/>
    </row>
    <row r="455" ht="12.75" customHeight="1">
      <c r="D455" s="13"/>
      <c r="E455" s="8"/>
    </row>
    <row r="456" ht="12.75" customHeight="1">
      <c r="D456" s="13"/>
      <c r="E456" s="8"/>
    </row>
    <row r="457" ht="12.75" customHeight="1">
      <c r="D457" s="13"/>
      <c r="E457" s="8"/>
    </row>
    <row r="458" ht="12.75" customHeight="1">
      <c r="D458" s="13"/>
      <c r="E458" s="8"/>
    </row>
    <row r="459" ht="12.75" customHeight="1">
      <c r="D459" s="13"/>
      <c r="E459" s="8"/>
    </row>
    <row r="460" ht="12.75" customHeight="1">
      <c r="D460" s="13"/>
      <c r="E460" s="8"/>
    </row>
    <row r="461" ht="12.75" customHeight="1">
      <c r="D461" s="13"/>
      <c r="E461" s="8"/>
    </row>
    <row r="462" ht="12.75" customHeight="1">
      <c r="D462" s="13"/>
      <c r="E462" s="8"/>
    </row>
    <row r="463" ht="12.75" customHeight="1">
      <c r="D463" s="13"/>
      <c r="E463" s="8"/>
    </row>
    <row r="464" ht="12.75" customHeight="1">
      <c r="D464" s="13"/>
      <c r="E464" s="8"/>
    </row>
    <row r="465" ht="12.75" customHeight="1">
      <c r="D465" s="13"/>
      <c r="E465" s="8"/>
    </row>
    <row r="466" ht="12.75" customHeight="1">
      <c r="D466" s="13"/>
      <c r="E466" s="8"/>
    </row>
    <row r="467" ht="12.75" customHeight="1">
      <c r="D467" s="13"/>
      <c r="E467" s="8"/>
    </row>
    <row r="468" ht="12.75" customHeight="1">
      <c r="D468" s="13"/>
      <c r="E468" s="8"/>
    </row>
    <row r="469" ht="12.75" customHeight="1">
      <c r="D469" s="13"/>
      <c r="E469" s="8"/>
    </row>
    <row r="470" ht="12.75" customHeight="1">
      <c r="D470" s="13"/>
      <c r="E470" s="8"/>
    </row>
    <row r="471" ht="12.75" customHeight="1">
      <c r="D471" s="13"/>
      <c r="E471" s="8"/>
    </row>
    <row r="472" ht="12.75" customHeight="1">
      <c r="D472" s="13"/>
      <c r="E472" s="8"/>
    </row>
    <row r="473" ht="12.75" customHeight="1">
      <c r="D473" s="13"/>
      <c r="E473" s="8"/>
    </row>
    <row r="474" ht="12.75" customHeight="1">
      <c r="D474" s="13"/>
      <c r="E474" s="8"/>
    </row>
    <row r="475" ht="12.75" customHeight="1">
      <c r="D475" s="13"/>
      <c r="E475" s="8"/>
    </row>
    <row r="476" ht="12.75" customHeight="1">
      <c r="D476" s="13"/>
      <c r="E476" s="8"/>
    </row>
    <row r="477" ht="12.75" customHeight="1">
      <c r="D477" s="13"/>
      <c r="E477" s="8"/>
    </row>
    <row r="478" ht="12.75" customHeight="1">
      <c r="D478" s="13"/>
      <c r="E478" s="8"/>
    </row>
    <row r="479" ht="12.75" customHeight="1">
      <c r="D479" s="13"/>
      <c r="E479" s="8"/>
    </row>
    <row r="480" ht="12.75" customHeight="1">
      <c r="D480" s="13"/>
      <c r="E480" s="8"/>
    </row>
    <row r="481" ht="12.75" customHeight="1">
      <c r="D481" s="13"/>
      <c r="E481" s="8"/>
    </row>
    <row r="482" ht="12.75" customHeight="1">
      <c r="D482" s="13"/>
      <c r="E482" s="8"/>
    </row>
    <row r="483" ht="12.75" customHeight="1">
      <c r="D483" s="13"/>
      <c r="E483" s="8"/>
    </row>
    <row r="484" ht="12.75" customHeight="1">
      <c r="D484" s="13"/>
      <c r="E484" s="8"/>
    </row>
    <row r="485" ht="12.75" customHeight="1">
      <c r="D485" s="13"/>
      <c r="E485" s="8"/>
    </row>
    <row r="486" ht="12.75" customHeight="1">
      <c r="D486" s="13"/>
      <c r="E486" s="8"/>
    </row>
    <row r="487" ht="12.75" customHeight="1">
      <c r="D487" s="13"/>
      <c r="E487" s="8"/>
    </row>
    <row r="488" ht="12.75" customHeight="1">
      <c r="D488" s="13"/>
      <c r="E488" s="8"/>
    </row>
    <row r="489" ht="12.75" customHeight="1">
      <c r="D489" s="13"/>
      <c r="E489" s="8"/>
    </row>
    <row r="490" ht="12.75" customHeight="1">
      <c r="D490" s="13"/>
      <c r="E490" s="8"/>
    </row>
    <row r="491" ht="12.75" customHeight="1">
      <c r="D491" s="13"/>
      <c r="E491" s="8"/>
    </row>
    <row r="492" ht="12.75" customHeight="1">
      <c r="D492" s="13"/>
      <c r="E492" s="8"/>
    </row>
    <row r="493" ht="12.75" customHeight="1">
      <c r="D493" s="13"/>
      <c r="E493" s="8"/>
    </row>
    <row r="494" ht="12.75" customHeight="1">
      <c r="D494" s="13"/>
      <c r="E494" s="8"/>
    </row>
    <row r="495" ht="12.75" customHeight="1">
      <c r="D495" s="13"/>
      <c r="E495" s="8"/>
    </row>
    <row r="496" ht="12.75" customHeight="1">
      <c r="D496" s="13"/>
      <c r="E496" s="8"/>
    </row>
    <row r="497" ht="12.75" customHeight="1">
      <c r="D497" s="13"/>
      <c r="E497" s="8"/>
    </row>
    <row r="498" ht="12.75" customHeight="1">
      <c r="D498" s="13"/>
      <c r="E498" s="8"/>
    </row>
    <row r="499" ht="12.75" customHeight="1">
      <c r="D499" s="13"/>
      <c r="E499" s="8"/>
    </row>
    <row r="500" ht="12.75" customHeight="1">
      <c r="D500" s="13"/>
      <c r="E500" s="8"/>
    </row>
    <row r="501" ht="12.75" customHeight="1">
      <c r="D501" s="13"/>
      <c r="E501" s="8"/>
    </row>
    <row r="502" ht="12.75" customHeight="1">
      <c r="D502" s="13"/>
      <c r="E502" s="8"/>
    </row>
    <row r="503" ht="12.75" customHeight="1">
      <c r="D503" s="13"/>
      <c r="E503" s="8"/>
    </row>
    <row r="504" ht="12.75" customHeight="1">
      <c r="D504" s="13"/>
      <c r="E504" s="8"/>
    </row>
    <row r="505" ht="12.75" customHeight="1">
      <c r="D505" s="13"/>
      <c r="E505" s="8"/>
    </row>
    <row r="506" ht="12.75" customHeight="1">
      <c r="D506" s="13"/>
      <c r="E506" s="8"/>
    </row>
    <row r="507" ht="12.75" customHeight="1">
      <c r="D507" s="13"/>
      <c r="E507" s="8"/>
    </row>
    <row r="508" ht="12.75" customHeight="1">
      <c r="D508" s="13"/>
      <c r="E508" s="8"/>
    </row>
    <row r="509" ht="12.75" customHeight="1">
      <c r="D509" s="13"/>
      <c r="E509" s="8"/>
    </row>
    <row r="510" ht="12.75" customHeight="1">
      <c r="D510" s="13"/>
      <c r="E510" s="8"/>
    </row>
    <row r="511" ht="12.75" customHeight="1">
      <c r="D511" s="13"/>
      <c r="E511" s="8"/>
    </row>
    <row r="512" ht="12.75" customHeight="1">
      <c r="D512" s="13"/>
      <c r="E512" s="8"/>
    </row>
    <row r="513" ht="12.75" customHeight="1">
      <c r="D513" s="13"/>
      <c r="E513" s="8"/>
    </row>
    <row r="514" ht="12.75" customHeight="1">
      <c r="D514" s="13"/>
      <c r="E514" s="8"/>
    </row>
    <row r="515" ht="12.75" customHeight="1">
      <c r="D515" s="13"/>
      <c r="E515" s="8"/>
    </row>
    <row r="516" ht="12.75" customHeight="1">
      <c r="D516" s="13"/>
      <c r="E516" s="8"/>
    </row>
    <row r="517" ht="12.75" customHeight="1">
      <c r="D517" s="13"/>
      <c r="E517" s="8"/>
    </row>
    <row r="518" ht="12.75" customHeight="1">
      <c r="D518" s="13"/>
      <c r="E518" s="8"/>
    </row>
    <row r="519" ht="12.75" customHeight="1">
      <c r="D519" s="13"/>
      <c r="E519" s="8"/>
    </row>
    <row r="520" ht="12.75" customHeight="1">
      <c r="D520" s="13"/>
      <c r="E520" s="8"/>
    </row>
    <row r="521" ht="12.75" customHeight="1">
      <c r="D521" s="13"/>
      <c r="E521" s="8"/>
    </row>
    <row r="522" ht="12.75" customHeight="1">
      <c r="D522" s="13"/>
      <c r="E522" s="8"/>
    </row>
    <row r="523" ht="12.75" customHeight="1">
      <c r="D523" s="13"/>
      <c r="E523" s="8"/>
    </row>
    <row r="524" ht="12.75" customHeight="1">
      <c r="D524" s="13"/>
      <c r="E524" s="8"/>
    </row>
    <row r="525" ht="12.75" customHeight="1">
      <c r="D525" s="13"/>
      <c r="E525" s="8"/>
    </row>
    <row r="526" ht="12.75" customHeight="1">
      <c r="D526" s="13"/>
      <c r="E526" s="8"/>
    </row>
    <row r="527" ht="12.75" customHeight="1">
      <c r="D527" s="13"/>
      <c r="E527" s="8"/>
    </row>
    <row r="528" ht="12.75" customHeight="1">
      <c r="D528" s="13"/>
      <c r="E528" s="8"/>
    </row>
    <row r="529" ht="12.75" customHeight="1">
      <c r="D529" s="13"/>
      <c r="E529" s="8"/>
    </row>
    <row r="530" ht="12.75" customHeight="1">
      <c r="D530" s="13"/>
      <c r="E530" s="8"/>
    </row>
    <row r="531" ht="12.75" customHeight="1">
      <c r="D531" s="13"/>
      <c r="E531" s="8"/>
    </row>
    <row r="532" ht="12.75" customHeight="1">
      <c r="D532" s="13"/>
      <c r="E532" s="8"/>
    </row>
    <row r="533" ht="12.75" customHeight="1">
      <c r="D533" s="13"/>
      <c r="E533" s="8"/>
    </row>
    <row r="534" ht="12.75" customHeight="1">
      <c r="D534" s="13"/>
      <c r="E534" s="8"/>
    </row>
    <row r="535" ht="12.75" customHeight="1">
      <c r="D535" s="13"/>
      <c r="E535" s="8"/>
    </row>
    <row r="536" ht="12.75" customHeight="1">
      <c r="D536" s="13"/>
      <c r="E536" s="8"/>
    </row>
    <row r="537" ht="12.75" customHeight="1">
      <c r="D537" s="13"/>
      <c r="E537" s="8"/>
    </row>
    <row r="538" ht="12.75" customHeight="1">
      <c r="D538" s="13"/>
      <c r="E538" s="8"/>
    </row>
    <row r="539" ht="12.75" customHeight="1">
      <c r="D539" s="13"/>
      <c r="E539" s="8"/>
    </row>
    <row r="540" ht="12.75" customHeight="1">
      <c r="D540" s="13"/>
      <c r="E540" s="8"/>
    </row>
    <row r="541" ht="12.75" customHeight="1">
      <c r="D541" s="13"/>
      <c r="E541" s="8"/>
    </row>
    <row r="542" ht="12.75" customHeight="1">
      <c r="D542" s="13"/>
      <c r="E542" s="8"/>
    </row>
    <row r="543" ht="12.75" customHeight="1">
      <c r="D543" s="13"/>
      <c r="E543" s="8"/>
    </row>
    <row r="544" ht="12.75" customHeight="1">
      <c r="D544" s="13"/>
      <c r="E544" s="8"/>
    </row>
    <row r="545" ht="12.75" customHeight="1">
      <c r="D545" s="13"/>
      <c r="E545" s="8"/>
    </row>
    <row r="546" ht="12.75" customHeight="1">
      <c r="D546" s="13"/>
      <c r="E546" s="8"/>
    </row>
    <row r="547" ht="12.75" customHeight="1">
      <c r="D547" s="13"/>
      <c r="E547" s="8"/>
    </row>
    <row r="548" ht="12.75" customHeight="1">
      <c r="D548" s="13"/>
      <c r="E548" s="8"/>
    </row>
    <row r="549" ht="12.75" customHeight="1">
      <c r="D549" s="13"/>
      <c r="E549" s="8"/>
    </row>
    <row r="550" ht="12.75" customHeight="1">
      <c r="D550" s="13"/>
      <c r="E550" s="8"/>
    </row>
    <row r="551" ht="12.75" customHeight="1">
      <c r="D551" s="13"/>
      <c r="E551" s="8"/>
    </row>
    <row r="552" ht="12.75" customHeight="1">
      <c r="D552" s="13"/>
      <c r="E552" s="8"/>
    </row>
    <row r="553" ht="12.75" customHeight="1">
      <c r="D553" s="13"/>
      <c r="E553" s="8"/>
    </row>
    <row r="554" ht="12.75" customHeight="1">
      <c r="D554" s="13"/>
      <c r="E554" s="8"/>
    </row>
    <row r="555" ht="12.75" customHeight="1">
      <c r="D555" s="13"/>
      <c r="E555" s="8"/>
    </row>
    <row r="556" ht="12.75" customHeight="1">
      <c r="D556" s="13"/>
      <c r="E556" s="8"/>
    </row>
    <row r="557" ht="12.75" customHeight="1">
      <c r="D557" s="13"/>
      <c r="E557" s="8"/>
    </row>
    <row r="558" ht="12.75" customHeight="1">
      <c r="D558" s="13"/>
      <c r="E558" s="8"/>
    </row>
    <row r="559" ht="12.75" customHeight="1">
      <c r="D559" s="13"/>
      <c r="E559" s="8"/>
    </row>
    <row r="560" ht="12.75" customHeight="1">
      <c r="D560" s="13"/>
      <c r="E560" s="8"/>
    </row>
    <row r="561" ht="12.75" customHeight="1">
      <c r="D561" s="13"/>
      <c r="E561" s="8"/>
    </row>
    <row r="562" ht="12.75" customHeight="1">
      <c r="D562" s="13"/>
      <c r="E562" s="8"/>
    </row>
    <row r="563" ht="12.75" customHeight="1">
      <c r="D563" s="13"/>
      <c r="E563" s="8"/>
    </row>
    <row r="564" ht="12.75" customHeight="1">
      <c r="D564" s="13"/>
      <c r="E564" s="8"/>
    </row>
    <row r="565" ht="12.75" customHeight="1">
      <c r="D565" s="13"/>
      <c r="E565" s="8"/>
    </row>
    <row r="566" ht="12.75" customHeight="1">
      <c r="D566" s="13"/>
      <c r="E566" s="8"/>
    </row>
    <row r="567" ht="12.75" customHeight="1">
      <c r="D567" s="13"/>
      <c r="E567" s="8"/>
    </row>
    <row r="568" ht="12.75" customHeight="1">
      <c r="D568" s="13"/>
      <c r="E568" s="8"/>
    </row>
    <row r="569" ht="12.75" customHeight="1">
      <c r="D569" s="13"/>
      <c r="E569" s="8"/>
    </row>
    <row r="570" ht="12.75" customHeight="1">
      <c r="D570" s="13"/>
      <c r="E570" s="8"/>
    </row>
    <row r="571" ht="12.75" customHeight="1">
      <c r="D571" s="13"/>
      <c r="E571" s="8"/>
    </row>
    <row r="572" ht="12.75" customHeight="1">
      <c r="D572" s="13"/>
      <c r="E572" s="8"/>
    </row>
    <row r="573" ht="12.75" customHeight="1">
      <c r="D573" s="13"/>
      <c r="E573" s="8"/>
    </row>
    <row r="574" ht="12.75" customHeight="1">
      <c r="D574" s="13"/>
      <c r="E574" s="8"/>
    </row>
    <row r="575" ht="12.75" customHeight="1">
      <c r="D575" s="13"/>
      <c r="E575" s="8"/>
    </row>
    <row r="576" ht="12.75" customHeight="1">
      <c r="D576" s="13"/>
      <c r="E576" s="8"/>
    </row>
    <row r="577" ht="12.75" customHeight="1">
      <c r="D577" s="13"/>
      <c r="E577" s="8"/>
    </row>
    <row r="578" ht="12.75" customHeight="1">
      <c r="D578" s="13"/>
      <c r="E578" s="8"/>
    </row>
    <row r="579" ht="12.75" customHeight="1">
      <c r="D579" s="13"/>
      <c r="E579" s="8"/>
    </row>
    <row r="580" ht="12.75" customHeight="1">
      <c r="D580" s="13"/>
      <c r="E580" s="8"/>
    </row>
    <row r="581" ht="12.75" customHeight="1">
      <c r="D581" s="13"/>
      <c r="E581" s="8"/>
    </row>
    <row r="582" ht="12.75" customHeight="1">
      <c r="D582" s="13"/>
      <c r="E582" s="8"/>
    </row>
    <row r="583" ht="12.75" customHeight="1">
      <c r="D583" s="13"/>
      <c r="E583" s="8"/>
    </row>
    <row r="584" ht="12.75" customHeight="1">
      <c r="D584" s="13"/>
      <c r="E584" s="8"/>
    </row>
    <row r="585" ht="12.75" customHeight="1">
      <c r="D585" s="13"/>
      <c r="E585" s="8"/>
    </row>
    <row r="586" ht="12.75" customHeight="1">
      <c r="D586" s="13"/>
      <c r="E586" s="8"/>
    </row>
    <row r="587" ht="12.75" customHeight="1">
      <c r="D587" s="13"/>
      <c r="E587" s="8"/>
    </row>
    <row r="588" ht="12.75" customHeight="1">
      <c r="D588" s="13"/>
      <c r="E588" s="8"/>
    </row>
    <row r="589" ht="12.75" customHeight="1">
      <c r="D589" s="13"/>
      <c r="E589" s="8"/>
    </row>
    <row r="590" ht="12.75" customHeight="1">
      <c r="D590" s="13"/>
      <c r="E590" s="8"/>
    </row>
    <row r="591" ht="12.75" customHeight="1">
      <c r="D591" s="13"/>
      <c r="E591" s="8"/>
    </row>
    <row r="592" ht="12.75" customHeight="1">
      <c r="D592" s="13"/>
      <c r="E592" s="8"/>
    </row>
    <row r="593" ht="12.75" customHeight="1">
      <c r="D593" s="13"/>
      <c r="E593" s="8"/>
    </row>
    <row r="594" ht="12.75" customHeight="1">
      <c r="D594" s="13"/>
      <c r="E594" s="8"/>
    </row>
    <row r="595" ht="12.75" customHeight="1">
      <c r="D595" s="13"/>
      <c r="E595" s="8"/>
    </row>
    <row r="596" ht="12.75" customHeight="1">
      <c r="D596" s="13"/>
      <c r="E596" s="8"/>
    </row>
    <row r="597" ht="12.75" customHeight="1">
      <c r="D597" s="13"/>
      <c r="E597" s="8"/>
    </row>
    <row r="598" ht="12.75" customHeight="1">
      <c r="D598" s="13"/>
      <c r="E598" s="8"/>
    </row>
    <row r="599" ht="12.75" customHeight="1">
      <c r="D599" s="13"/>
      <c r="E599" s="8"/>
    </row>
    <row r="600" ht="12.75" customHeight="1">
      <c r="D600" s="13"/>
      <c r="E600" s="8"/>
    </row>
    <row r="601" ht="12.75" customHeight="1">
      <c r="D601" s="13"/>
      <c r="E601" s="8"/>
    </row>
    <row r="602" ht="12.75" customHeight="1">
      <c r="D602" s="13"/>
      <c r="E602" s="8"/>
    </row>
    <row r="603" ht="12.75" customHeight="1">
      <c r="D603" s="13"/>
      <c r="E603" s="8"/>
    </row>
    <row r="604" ht="12.75" customHeight="1">
      <c r="D604" s="13"/>
      <c r="E604" s="8"/>
    </row>
    <row r="605" ht="12.75" customHeight="1">
      <c r="D605" s="13"/>
      <c r="E605" s="8"/>
    </row>
    <row r="606" ht="12.75" customHeight="1">
      <c r="D606" s="13"/>
      <c r="E606" s="8"/>
    </row>
    <row r="607" ht="12.75" customHeight="1">
      <c r="D607" s="13"/>
      <c r="E607" s="8"/>
    </row>
    <row r="608" ht="12.75" customHeight="1">
      <c r="D608" s="13"/>
      <c r="E608" s="8"/>
    </row>
    <row r="609" ht="12.75" customHeight="1">
      <c r="D609" s="13"/>
      <c r="E609" s="8"/>
    </row>
    <row r="610" ht="12.75" customHeight="1">
      <c r="D610" s="13"/>
      <c r="E610" s="8"/>
    </row>
    <row r="611" ht="12.75" customHeight="1">
      <c r="D611" s="13"/>
      <c r="E611" s="8"/>
    </row>
    <row r="612" ht="12.75" customHeight="1">
      <c r="D612" s="13"/>
      <c r="E612" s="8"/>
    </row>
    <row r="613" ht="12.75" customHeight="1">
      <c r="D613" s="13"/>
      <c r="E613" s="8"/>
    </row>
    <row r="614" ht="12.75" customHeight="1">
      <c r="D614" s="13"/>
      <c r="E614" s="8"/>
    </row>
    <row r="615" ht="12.75" customHeight="1">
      <c r="D615" s="13"/>
      <c r="E615" s="8"/>
    </row>
    <row r="616" ht="12.75" customHeight="1">
      <c r="D616" s="13"/>
      <c r="E616" s="8"/>
    </row>
    <row r="617" ht="12.75" customHeight="1">
      <c r="D617" s="13"/>
      <c r="E617" s="8"/>
    </row>
    <row r="618" ht="12.75" customHeight="1">
      <c r="D618" s="13"/>
      <c r="E618" s="8"/>
    </row>
    <row r="619" ht="12.75" customHeight="1">
      <c r="D619" s="13"/>
      <c r="E619" s="8"/>
    </row>
    <row r="620" ht="12.75" customHeight="1">
      <c r="D620" s="13"/>
      <c r="E620" s="8"/>
    </row>
    <row r="621" ht="12.75" customHeight="1">
      <c r="D621" s="13"/>
      <c r="E621" s="8"/>
    </row>
    <row r="622" ht="12.75" customHeight="1">
      <c r="D622" s="13"/>
      <c r="E622" s="8"/>
    </row>
    <row r="623" ht="12.75" customHeight="1">
      <c r="D623" s="13"/>
      <c r="E623" s="8"/>
    </row>
    <row r="624" ht="12.75" customHeight="1">
      <c r="D624" s="13"/>
      <c r="E624" s="8"/>
    </row>
    <row r="625" ht="12.75" customHeight="1">
      <c r="D625" s="13"/>
      <c r="E625" s="8"/>
    </row>
    <row r="626" ht="12.75" customHeight="1">
      <c r="D626" s="13"/>
      <c r="E626" s="8"/>
    </row>
    <row r="627" ht="12.75" customHeight="1">
      <c r="D627" s="13"/>
      <c r="E627" s="8"/>
    </row>
    <row r="628" ht="12.75" customHeight="1">
      <c r="D628" s="13"/>
      <c r="E628" s="8"/>
    </row>
    <row r="629" ht="12.75" customHeight="1">
      <c r="D629" s="13"/>
      <c r="E629" s="8"/>
    </row>
    <row r="630" ht="12.75" customHeight="1">
      <c r="D630" s="13"/>
      <c r="E630" s="8"/>
    </row>
    <row r="631" ht="12.75" customHeight="1">
      <c r="D631" s="13"/>
      <c r="E631" s="8"/>
    </row>
    <row r="632" ht="12.75" customHeight="1">
      <c r="D632" s="13"/>
      <c r="E632" s="8"/>
    </row>
    <row r="633" ht="12.75" customHeight="1">
      <c r="D633" s="13"/>
      <c r="E633" s="8"/>
    </row>
    <row r="634" ht="12.75" customHeight="1">
      <c r="D634" s="13"/>
      <c r="E634" s="8"/>
    </row>
    <row r="635" ht="12.75" customHeight="1">
      <c r="D635" s="13"/>
      <c r="E635" s="8"/>
    </row>
    <row r="636" ht="12.75" customHeight="1">
      <c r="D636" s="13"/>
      <c r="E636" s="8"/>
    </row>
    <row r="637" ht="12.75" customHeight="1">
      <c r="D637" s="13"/>
      <c r="E637" s="8"/>
    </row>
    <row r="638" ht="12.75" customHeight="1">
      <c r="D638" s="13"/>
      <c r="E638" s="8"/>
    </row>
    <row r="639" ht="12.75" customHeight="1">
      <c r="D639" s="13"/>
      <c r="E639" s="8"/>
    </row>
    <row r="640" ht="12.75" customHeight="1">
      <c r="D640" s="13"/>
      <c r="E640" s="8"/>
    </row>
    <row r="641" ht="12.75" customHeight="1">
      <c r="D641" s="13"/>
      <c r="E641" s="8"/>
    </row>
    <row r="642" ht="12.75" customHeight="1">
      <c r="D642" s="13"/>
      <c r="E642" s="8"/>
    </row>
    <row r="643" ht="12.75" customHeight="1">
      <c r="D643" s="13"/>
      <c r="E643" s="8"/>
    </row>
    <row r="644" ht="12.75" customHeight="1">
      <c r="D644" s="13"/>
      <c r="E644" s="8"/>
    </row>
    <row r="645" ht="12.75" customHeight="1">
      <c r="D645" s="13"/>
      <c r="E645" s="8"/>
    </row>
    <row r="646" ht="12.75" customHeight="1">
      <c r="D646" s="13"/>
      <c r="E646" s="8"/>
    </row>
    <row r="647" ht="12.75" customHeight="1">
      <c r="D647" s="13"/>
      <c r="E647" s="8"/>
    </row>
    <row r="648" ht="12.75" customHeight="1">
      <c r="D648" s="13"/>
      <c r="E648" s="8"/>
    </row>
    <row r="649" ht="12.75" customHeight="1">
      <c r="D649" s="13"/>
      <c r="E649" s="8"/>
    </row>
    <row r="650" ht="12.75" customHeight="1">
      <c r="D650" s="13"/>
      <c r="E650" s="8"/>
    </row>
    <row r="651" ht="12.75" customHeight="1">
      <c r="D651" s="13"/>
      <c r="E651" s="8"/>
    </row>
    <row r="652" ht="12.75" customHeight="1">
      <c r="D652" s="13"/>
      <c r="E652" s="8"/>
    </row>
    <row r="653" ht="12.75" customHeight="1">
      <c r="D653" s="13"/>
      <c r="E653" s="8"/>
    </row>
    <row r="654" ht="12.75" customHeight="1">
      <c r="D654" s="13"/>
      <c r="E654" s="8"/>
    </row>
    <row r="655" ht="12.75" customHeight="1">
      <c r="D655" s="13"/>
      <c r="E655" s="8"/>
    </row>
    <row r="656" ht="12.75" customHeight="1">
      <c r="D656" s="13"/>
      <c r="E656" s="8"/>
    </row>
    <row r="657" ht="12.75" customHeight="1">
      <c r="D657" s="13"/>
      <c r="E657" s="8"/>
    </row>
    <row r="658" ht="12.75" customHeight="1">
      <c r="D658" s="13"/>
      <c r="E658" s="8"/>
    </row>
    <row r="659" ht="12.75" customHeight="1">
      <c r="D659" s="13"/>
      <c r="E659" s="8"/>
    </row>
    <row r="660" ht="12.75" customHeight="1">
      <c r="D660" s="13"/>
      <c r="E660" s="8"/>
    </row>
    <row r="661" ht="12.75" customHeight="1">
      <c r="D661" s="13"/>
      <c r="E661" s="8"/>
    </row>
    <row r="662" ht="12.75" customHeight="1">
      <c r="D662" s="13"/>
      <c r="E662" s="8"/>
    </row>
    <row r="663" ht="12.75" customHeight="1">
      <c r="D663" s="13"/>
      <c r="E663" s="8"/>
    </row>
    <row r="664" ht="12.75" customHeight="1">
      <c r="D664" s="13"/>
      <c r="E664" s="8"/>
    </row>
    <row r="665" ht="12.75" customHeight="1">
      <c r="D665" s="13"/>
      <c r="E665" s="8"/>
    </row>
    <row r="666" ht="12.75" customHeight="1">
      <c r="D666" s="13"/>
      <c r="E666" s="8"/>
    </row>
    <row r="667" ht="12.75" customHeight="1">
      <c r="D667" s="13"/>
      <c r="E667" s="8"/>
    </row>
    <row r="668" ht="12.75" customHeight="1">
      <c r="D668" s="13"/>
      <c r="E668" s="8"/>
    </row>
    <row r="669" ht="12.75" customHeight="1">
      <c r="D669" s="13"/>
      <c r="E669" s="8"/>
    </row>
    <row r="670" ht="12.75" customHeight="1">
      <c r="D670" s="13"/>
      <c r="E670" s="8"/>
    </row>
    <row r="671" ht="12.75" customHeight="1">
      <c r="D671" s="13"/>
      <c r="E671" s="8"/>
    </row>
    <row r="672" ht="12.75" customHeight="1">
      <c r="D672" s="13"/>
      <c r="E672" s="8"/>
    </row>
    <row r="673" ht="12.75" customHeight="1">
      <c r="D673" s="13"/>
      <c r="E673" s="8"/>
    </row>
    <row r="674" ht="12.75" customHeight="1">
      <c r="D674" s="13"/>
      <c r="E674" s="8"/>
    </row>
    <row r="675" ht="12.75" customHeight="1">
      <c r="D675" s="13"/>
      <c r="E675" s="8"/>
    </row>
    <row r="676" ht="12.75" customHeight="1">
      <c r="D676" s="13"/>
      <c r="E676" s="8"/>
    </row>
    <row r="677" ht="12.75" customHeight="1">
      <c r="D677" s="13"/>
      <c r="E677" s="8"/>
    </row>
    <row r="678" ht="12.75" customHeight="1">
      <c r="D678" s="13"/>
      <c r="E678" s="8"/>
    </row>
    <row r="679" ht="12.75" customHeight="1">
      <c r="D679" s="13"/>
      <c r="E679" s="8"/>
    </row>
    <row r="680" ht="12.75" customHeight="1">
      <c r="D680" s="13"/>
      <c r="E680" s="8"/>
    </row>
    <row r="681" ht="12.75" customHeight="1">
      <c r="D681" s="13"/>
      <c r="E681" s="8"/>
    </row>
    <row r="682" ht="12.75" customHeight="1">
      <c r="D682" s="13"/>
      <c r="E682" s="8"/>
    </row>
    <row r="683" ht="12.75" customHeight="1">
      <c r="D683" s="13"/>
      <c r="E683" s="8"/>
    </row>
    <row r="684" ht="12.75" customHeight="1">
      <c r="D684" s="13"/>
      <c r="E684" s="8"/>
    </row>
    <row r="685" ht="12.75" customHeight="1">
      <c r="D685" s="13"/>
      <c r="E685" s="8"/>
    </row>
    <row r="686" ht="12.75" customHeight="1">
      <c r="D686" s="13"/>
      <c r="E686" s="8"/>
    </row>
    <row r="687" ht="12.75" customHeight="1">
      <c r="D687" s="13"/>
      <c r="E687" s="8"/>
    </row>
    <row r="688" ht="12.75" customHeight="1">
      <c r="D688" s="13"/>
      <c r="E688" s="8"/>
    </row>
    <row r="689" ht="12.75" customHeight="1">
      <c r="D689" s="13"/>
      <c r="E689" s="8"/>
    </row>
    <row r="690" ht="12.75" customHeight="1">
      <c r="D690" s="13"/>
      <c r="E690" s="8"/>
    </row>
    <row r="691" ht="12.75" customHeight="1">
      <c r="D691" s="13"/>
      <c r="E691" s="8"/>
    </row>
    <row r="692" ht="12.75" customHeight="1">
      <c r="D692" s="13"/>
      <c r="E692" s="8"/>
    </row>
    <row r="693" ht="12.75" customHeight="1">
      <c r="D693" s="13"/>
      <c r="E693" s="8"/>
    </row>
    <row r="694" ht="12.75" customHeight="1">
      <c r="D694" s="13"/>
      <c r="E694" s="8"/>
    </row>
    <row r="695" ht="12.75" customHeight="1">
      <c r="D695" s="13"/>
      <c r="E695" s="8"/>
    </row>
    <row r="696" ht="12.75" customHeight="1">
      <c r="D696" s="13"/>
      <c r="E696" s="8"/>
    </row>
    <row r="697" ht="12.75" customHeight="1">
      <c r="D697" s="13"/>
      <c r="E697" s="8"/>
    </row>
    <row r="698" ht="12.75" customHeight="1">
      <c r="D698" s="13"/>
      <c r="E698" s="8"/>
    </row>
    <row r="699" ht="12.75" customHeight="1">
      <c r="D699" s="13"/>
      <c r="E699" s="8"/>
    </row>
    <row r="700" ht="12.75" customHeight="1">
      <c r="D700" s="13"/>
      <c r="E700" s="8"/>
    </row>
    <row r="701" ht="12.75" customHeight="1">
      <c r="D701" s="13"/>
      <c r="E701" s="8"/>
    </row>
    <row r="702" ht="12.75" customHeight="1">
      <c r="D702" s="13"/>
      <c r="E702" s="8"/>
    </row>
    <row r="703" ht="12.75" customHeight="1">
      <c r="D703" s="13"/>
      <c r="E703" s="8"/>
    </row>
    <row r="704" ht="12.75" customHeight="1">
      <c r="D704" s="13"/>
      <c r="E704" s="8"/>
    </row>
    <row r="705" ht="12.75" customHeight="1">
      <c r="D705" s="13"/>
      <c r="E705" s="8"/>
    </row>
    <row r="706" ht="12.75" customHeight="1">
      <c r="D706" s="13"/>
      <c r="E706" s="8"/>
    </row>
    <row r="707" ht="12.75" customHeight="1">
      <c r="D707" s="13"/>
      <c r="E707" s="8"/>
    </row>
    <row r="708" ht="12.75" customHeight="1">
      <c r="D708" s="13"/>
      <c r="E708" s="8"/>
    </row>
    <row r="709" ht="12.75" customHeight="1">
      <c r="D709" s="13"/>
      <c r="E709" s="8"/>
    </row>
    <row r="710" ht="12.75" customHeight="1">
      <c r="D710" s="13"/>
      <c r="E710" s="8"/>
    </row>
    <row r="711" ht="12.75" customHeight="1">
      <c r="D711" s="13"/>
      <c r="E711" s="8"/>
    </row>
    <row r="712" ht="12.75" customHeight="1">
      <c r="D712" s="13"/>
      <c r="E712" s="8"/>
    </row>
    <row r="713" ht="12.75" customHeight="1">
      <c r="D713" s="13"/>
      <c r="E713" s="8"/>
    </row>
    <row r="714" ht="12.75" customHeight="1">
      <c r="D714" s="13"/>
      <c r="E714" s="8"/>
    </row>
    <row r="715" ht="12.75" customHeight="1">
      <c r="D715" s="13"/>
      <c r="E715" s="8"/>
    </row>
    <row r="716" ht="12.75" customHeight="1">
      <c r="D716" s="13"/>
      <c r="E716" s="8"/>
    </row>
    <row r="717" ht="12.75" customHeight="1">
      <c r="D717" s="13"/>
      <c r="E717" s="8"/>
    </row>
    <row r="718" ht="12.75" customHeight="1">
      <c r="D718" s="13"/>
      <c r="E718" s="8"/>
    </row>
    <row r="719" ht="12.75" customHeight="1">
      <c r="D719" s="13"/>
      <c r="E719" s="8"/>
    </row>
    <row r="720" ht="12.75" customHeight="1">
      <c r="D720" s="13"/>
      <c r="E720" s="8"/>
    </row>
    <row r="721" ht="12.75" customHeight="1">
      <c r="D721" s="13"/>
      <c r="E721" s="8"/>
    </row>
    <row r="722" ht="12.75" customHeight="1">
      <c r="D722" s="13"/>
      <c r="E722" s="8"/>
    </row>
    <row r="723" ht="12.75" customHeight="1">
      <c r="D723" s="13"/>
      <c r="E723" s="8"/>
    </row>
    <row r="724" ht="12.75" customHeight="1">
      <c r="D724" s="13"/>
      <c r="E724" s="8"/>
    </row>
    <row r="725" ht="12.75" customHeight="1">
      <c r="D725" s="13"/>
      <c r="E725" s="8"/>
    </row>
    <row r="726" ht="12.75" customHeight="1">
      <c r="D726" s="13"/>
      <c r="E726" s="8"/>
    </row>
    <row r="727" ht="12.75" customHeight="1">
      <c r="D727" s="13"/>
      <c r="E727" s="8"/>
    </row>
    <row r="728" ht="12.75" customHeight="1">
      <c r="D728" s="13"/>
      <c r="E728" s="8"/>
    </row>
    <row r="729" ht="12.75" customHeight="1">
      <c r="D729" s="13"/>
      <c r="E729" s="8"/>
    </row>
    <row r="730" ht="12.75" customHeight="1">
      <c r="D730" s="13"/>
      <c r="E730" s="8"/>
    </row>
    <row r="731" ht="12.75" customHeight="1">
      <c r="D731" s="13"/>
      <c r="E731" s="8"/>
    </row>
    <row r="732" ht="12.75" customHeight="1">
      <c r="D732" s="13"/>
      <c r="E732" s="8"/>
    </row>
    <row r="733" ht="12.75" customHeight="1">
      <c r="D733" s="13"/>
      <c r="E733" s="8"/>
    </row>
    <row r="734" ht="12.75" customHeight="1">
      <c r="D734" s="13"/>
      <c r="E734" s="8"/>
    </row>
    <row r="735" ht="12.75" customHeight="1">
      <c r="D735" s="13"/>
      <c r="E735" s="8"/>
    </row>
    <row r="736" ht="12.75" customHeight="1">
      <c r="D736" s="13"/>
      <c r="E736" s="8"/>
    </row>
    <row r="737" ht="12.75" customHeight="1">
      <c r="D737" s="13"/>
      <c r="E737" s="8"/>
    </row>
    <row r="738" ht="12.75" customHeight="1">
      <c r="D738" s="13"/>
      <c r="E738" s="8"/>
    </row>
    <row r="739" ht="12.75" customHeight="1">
      <c r="D739" s="13"/>
      <c r="E739" s="8"/>
    </row>
    <row r="740" ht="12.75" customHeight="1">
      <c r="D740" s="13"/>
      <c r="E740" s="8"/>
    </row>
    <row r="741" ht="12.75" customHeight="1">
      <c r="D741" s="13"/>
      <c r="E741" s="8"/>
    </row>
    <row r="742" ht="12.75" customHeight="1">
      <c r="D742" s="13"/>
      <c r="E742" s="8"/>
    </row>
    <row r="743" ht="12.75" customHeight="1">
      <c r="D743" s="13"/>
      <c r="E743" s="8"/>
    </row>
    <row r="744" ht="12.75" customHeight="1">
      <c r="D744" s="13"/>
      <c r="E744" s="8"/>
    </row>
    <row r="745" ht="12.75" customHeight="1">
      <c r="D745" s="13"/>
      <c r="E745" s="8"/>
    </row>
    <row r="746" ht="12.75" customHeight="1">
      <c r="D746" s="13"/>
      <c r="E746" s="8"/>
    </row>
    <row r="747" ht="12.75" customHeight="1">
      <c r="D747" s="13"/>
      <c r="E747" s="8"/>
    </row>
    <row r="748" ht="12.75" customHeight="1">
      <c r="D748" s="13"/>
      <c r="E748" s="8"/>
    </row>
    <row r="749" ht="12.75" customHeight="1">
      <c r="D749" s="13"/>
      <c r="E749" s="8"/>
    </row>
    <row r="750" ht="12.75" customHeight="1">
      <c r="D750" s="13"/>
      <c r="E750" s="8"/>
    </row>
    <row r="751" ht="12.75" customHeight="1">
      <c r="D751" s="13"/>
      <c r="E751" s="8"/>
    </row>
    <row r="752" ht="12.75" customHeight="1">
      <c r="D752" s="13"/>
      <c r="E752" s="8"/>
    </row>
    <row r="753" ht="12.75" customHeight="1">
      <c r="D753" s="13"/>
      <c r="E753" s="8"/>
    </row>
    <row r="754" ht="12.75" customHeight="1">
      <c r="D754" s="13"/>
      <c r="E754" s="8"/>
    </row>
    <row r="755" ht="12.75" customHeight="1">
      <c r="D755" s="13"/>
      <c r="E755" s="8"/>
    </row>
    <row r="756" ht="12.75" customHeight="1">
      <c r="D756" s="13"/>
      <c r="E756" s="8"/>
    </row>
    <row r="757" ht="12.75" customHeight="1">
      <c r="D757" s="13"/>
      <c r="E757" s="8"/>
    </row>
    <row r="758" ht="12.75" customHeight="1">
      <c r="D758" s="13"/>
      <c r="E758" s="8"/>
    </row>
    <row r="759" ht="12.75" customHeight="1">
      <c r="D759" s="13"/>
      <c r="E759" s="8"/>
    </row>
    <row r="760" ht="12.75" customHeight="1">
      <c r="D760" s="13"/>
      <c r="E760" s="8"/>
    </row>
    <row r="761" ht="12.75" customHeight="1">
      <c r="D761" s="13"/>
      <c r="E761" s="8"/>
    </row>
    <row r="762" ht="12.75" customHeight="1">
      <c r="D762" s="13"/>
      <c r="E762" s="8"/>
    </row>
    <row r="763" ht="12.75" customHeight="1">
      <c r="D763" s="13"/>
      <c r="E763" s="8"/>
    </row>
    <row r="764" ht="12.75" customHeight="1">
      <c r="D764" s="13"/>
      <c r="E764" s="8"/>
    </row>
    <row r="765" ht="12.75" customHeight="1">
      <c r="D765" s="13"/>
      <c r="E765" s="8"/>
    </row>
    <row r="766" ht="12.75" customHeight="1">
      <c r="D766" s="13"/>
      <c r="E766" s="8"/>
    </row>
    <row r="767" ht="12.75" customHeight="1">
      <c r="D767" s="13"/>
      <c r="E767" s="8"/>
    </row>
    <row r="768" ht="12.75" customHeight="1">
      <c r="D768" s="13"/>
      <c r="E768" s="8"/>
    </row>
    <row r="769" ht="12.75" customHeight="1">
      <c r="D769" s="13"/>
      <c r="E769" s="8"/>
    </row>
    <row r="770" ht="12.75" customHeight="1">
      <c r="D770" s="13"/>
      <c r="E770" s="8"/>
    </row>
    <row r="771" ht="12.75" customHeight="1">
      <c r="D771" s="13"/>
      <c r="E771" s="8"/>
    </row>
    <row r="772" ht="12.75" customHeight="1">
      <c r="D772" s="13"/>
      <c r="E772" s="8"/>
    </row>
    <row r="773" ht="12.75" customHeight="1">
      <c r="D773" s="13"/>
      <c r="E773" s="8"/>
    </row>
    <row r="774" ht="12.75" customHeight="1">
      <c r="D774" s="13"/>
      <c r="E774" s="8"/>
    </row>
    <row r="775" ht="12.75" customHeight="1">
      <c r="D775" s="13"/>
      <c r="E775" s="8"/>
    </row>
    <row r="776" ht="12.75" customHeight="1">
      <c r="D776" s="13"/>
      <c r="E776" s="8"/>
    </row>
    <row r="777" ht="12.75" customHeight="1">
      <c r="D777" s="13"/>
      <c r="E777" s="8"/>
    </row>
    <row r="778" ht="12.75" customHeight="1">
      <c r="D778" s="13"/>
      <c r="E778" s="8"/>
    </row>
    <row r="779" ht="12.75" customHeight="1">
      <c r="D779" s="13"/>
      <c r="E779" s="8"/>
    </row>
    <row r="780" ht="12.75" customHeight="1">
      <c r="D780" s="13"/>
      <c r="E780" s="8"/>
    </row>
    <row r="781" ht="12.75" customHeight="1">
      <c r="D781" s="13"/>
      <c r="E781" s="8"/>
    </row>
    <row r="782" ht="12.75" customHeight="1">
      <c r="D782" s="13"/>
      <c r="E782" s="8"/>
    </row>
    <row r="783" ht="12.75" customHeight="1">
      <c r="D783" s="13"/>
      <c r="E783" s="8"/>
    </row>
    <row r="784" ht="12.75" customHeight="1">
      <c r="D784" s="13"/>
      <c r="E784" s="8"/>
    </row>
    <row r="785" ht="12.75" customHeight="1">
      <c r="D785" s="13"/>
      <c r="E785" s="8"/>
    </row>
    <row r="786" ht="12.75" customHeight="1">
      <c r="D786" s="13"/>
      <c r="E786" s="8"/>
    </row>
    <row r="787" ht="12.75" customHeight="1">
      <c r="D787" s="13"/>
      <c r="E787" s="8"/>
    </row>
    <row r="788" ht="12.75" customHeight="1">
      <c r="D788" s="13"/>
      <c r="E788" s="8"/>
    </row>
    <row r="789" ht="12.75" customHeight="1">
      <c r="D789" s="13"/>
      <c r="E789" s="8"/>
    </row>
    <row r="790" ht="12.75" customHeight="1">
      <c r="D790" s="13"/>
      <c r="E790" s="8"/>
    </row>
    <row r="791" ht="12.75" customHeight="1">
      <c r="D791" s="13"/>
      <c r="E791" s="8"/>
    </row>
    <row r="792" ht="12.75" customHeight="1">
      <c r="D792" s="13"/>
      <c r="E792" s="8"/>
    </row>
    <row r="793" ht="12.75" customHeight="1">
      <c r="D793" s="13"/>
      <c r="E793" s="8"/>
    </row>
    <row r="794" ht="12.75" customHeight="1">
      <c r="D794" s="13"/>
      <c r="E794" s="8"/>
    </row>
    <row r="795" ht="12.75" customHeight="1">
      <c r="D795" s="13"/>
      <c r="E795" s="8"/>
    </row>
    <row r="796" ht="12.75" customHeight="1">
      <c r="D796" s="13"/>
      <c r="E796" s="8"/>
    </row>
    <row r="797" ht="12.75" customHeight="1">
      <c r="D797" s="13"/>
      <c r="E797" s="8"/>
    </row>
    <row r="798" ht="12.75" customHeight="1">
      <c r="D798" s="13"/>
      <c r="E798" s="8"/>
    </row>
    <row r="799" ht="12.75" customHeight="1">
      <c r="D799" s="13"/>
      <c r="E799" s="8"/>
    </row>
    <row r="800" ht="12.75" customHeight="1">
      <c r="D800" s="13"/>
      <c r="E800" s="8"/>
    </row>
    <row r="801" ht="12.75" customHeight="1">
      <c r="D801" s="13"/>
      <c r="E801" s="8"/>
    </row>
    <row r="802" ht="12.75" customHeight="1">
      <c r="D802" s="13"/>
      <c r="E802" s="8"/>
    </row>
    <row r="803" ht="12.75" customHeight="1">
      <c r="D803" s="13"/>
      <c r="E803" s="8"/>
    </row>
    <row r="804" ht="12.75" customHeight="1">
      <c r="D804" s="13"/>
      <c r="E804" s="8"/>
    </row>
    <row r="805" ht="12.75" customHeight="1">
      <c r="D805" s="13"/>
      <c r="E805" s="8"/>
    </row>
    <row r="806" ht="12.75" customHeight="1">
      <c r="D806" s="13"/>
      <c r="E806" s="8"/>
    </row>
    <row r="807" ht="12.75" customHeight="1">
      <c r="D807" s="13"/>
      <c r="E807" s="8"/>
    </row>
    <row r="808" ht="12.75" customHeight="1">
      <c r="D808" s="13"/>
      <c r="E808" s="8"/>
    </row>
    <row r="809" ht="12.75" customHeight="1">
      <c r="D809" s="13"/>
      <c r="E809" s="8"/>
    </row>
    <row r="810" ht="12.75" customHeight="1">
      <c r="D810" s="13"/>
      <c r="E810" s="8"/>
    </row>
    <row r="811" ht="12.75" customHeight="1">
      <c r="D811" s="13"/>
      <c r="E811" s="8"/>
    </row>
    <row r="812" ht="12.75" customHeight="1">
      <c r="D812" s="13"/>
      <c r="E812" s="8"/>
    </row>
    <row r="813" ht="12.75" customHeight="1">
      <c r="D813" s="13"/>
      <c r="E813" s="8"/>
    </row>
    <row r="814" ht="12.75" customHeight="1">
      <c r="D814" s="13"/>
      <c r="E814" s="8"/>
    </row>
    <row r="815" ht="12.75" customHeight="1">
      <c r="D815" s="13"/>
      <c r="E815" s="8"/>
    </row>
    <row r="816" ht="12.75" customHeight="1">
      <c r="D816" s="13"/>
      <c r="E816" s="8"/>
    </row>
    <row r="817" ht="12.75" customHeight="1">
      <c r="D817" s="13"/>
      <c r="E817" s="8"/>
    </row>
    <row r="818" ht="12.75" customHeight="1">
      <c r="D818" s="13"/>
      <c r="E818" s="8"/>
    </row>
    <row r="819" ht="12.75" customHeight="1">
      <c r="D819" s="13"/>
      <c r="E819" s="8"/>
    </row>
    <row r="820" ht="12.75" customHeight="1">
      <c r="D820" s="13"/>
      <c r="E820" s="8"/>
    </row>
    <row r="821" ht="12.75" customHeight="1">
      <c r="D821" s="13"/>
      <c r="E821" s="8"/>
    </row>
    <row r="822" ht="12.75" customHeight="1">
      <c r="D822" s="13"/>
      <c r="E822" s="8"/>
    </row>
    <row r="823" ht="12.75" customHeight="1">
      <c r="D823" s="13"/>
      <c r="E823" s="8"/>
    </row>
    <row r="824" ht="12.75" customHeight="1">
      <c r="D824" s="13"/>
      <c r="E824" s="8"/>
    </row>
    <row r="825" ht="12.75" customHeight="1">
      <c r="D825" s="13"/>
      <c r="E825" s="8"/>
    </row>
    <row r="826" ht="12.75" customHeight="1">
      <c r="D826" s="13"/>
      <c r="E826" s="8"/>
    </row>
    <row r="827" ht="12.75" customHeight="1">
      <c r="D827" s="13"/>
      <c r="E827" s="8"/>
    </row>
    <row r="828" ht="12.75" customHeight="1">
      <c r="D828" s="13"/>
      <c r="E828" s="8"/>
    </row>
    <row r="829" ht="12.75" customHeight="1">
      <c r="D829" s="13"/>
      <c r="E829" s="8"/>
    </row>
    <row r="830" ht="12.75" customHeight="1">
      <c r="D830" s="13"/>
      <c r="E830" s="8"/>
    </row>
    <row r="831" ht="12.75" customHeight="1">
      <c r="D831" s="13"/>
      <c r="E831" s="8"/>
    </row>
    <row r="832" ht="12.75" customHeight="1">
      <c r="D832" s="13"/>
      <c r="E832" s="8"/>
    </row>
    <row r="833" ht="12.75" customHeight="1">
      <c r="D833" s="13"/>
      <c r="E833" s="8"/>
    </row>
    <row r="834" ht="12.75" customHeight="1">
      <c r="D834" s="13"/>
      <c r="E834" s="8"/>
    </row>
    <row r="835" ht="12.75" customHeight="1">
      <c r="D835" s="13"/>
      <c r="E835" s="8"/>
    </row>
    <row r="836" ht="12.75" customHeight="1">
      <c r="D836" s="13"/>
      <c r="E836" s="8"/>
    </row>
    <row r="837" ht="12.75" customHeight="1">
      <c r="D837" s="13"/>
      <c r="E837" s="8"/>
    </row>
    <row r="838" ht="12.75" customHeight="1">
      <c r="D838" s="13"/>
      <c r="E838" s="8"/>
    </row>
    <row r="839" ht="12.75" customHeight="1">
      <c r="D839" s="13"/>
      <c r="E839" s="8"/>
    </row>
    <row r="840" ht="12.75" customHeight="1">
      <c r="D840" s="13"/>
      <c r="E840" s="8"/>
    </row>
    <row r="841" ht="12.75" customHeight="1">
      <c r="D841" s="13"/>
      <c r="E841" s="8"/>
    </row>
    <row r="842" ht="12.75" customHeight="1">
      <c r="D842" s="13"/>
      <c r="E842" s="8"/>
    </row>
    <row r="843" ht="12.75" customHeight="1">
      <c r="D843" s="13"/>
      <c r="E843" s="8"/>
    </row>
    <row r="844" ht="12.75" customHeight="1">
      <c r="D844" s="13"/>
      <c r="E844" s="8"/>
    </row>
    <row r="845" ht="12.75" customHeight="1">
      <c r="D845" s="13"/>
      <c r="E845" s="8"/>
    </row>
    <row r="846" ht="12.75" customHeight="1">
      <c r="D846" s="13"/>
      <c r="E846" s="8"/>
    </row>
    <row r="847" ht="12.75" customHeight="1">
      <c r="D847" s="13"/>
      <c r="E847" s="8"/>
    </row>
    <row r="848" ht="12.75" customHeight="1">
      <c r="D848" s="13"/>
      <c r="E848" s="8"/>
    </row>
    <row r="849" ht="12.75" customHeight="1">
      <c r="D849" s="13"/>
      <c r="E849" s="8"/>
    </row>
    <row r="850" ht="12.75" customHeight="1">
      <c r="D850" s="13"/>
      <c r="E850" s="8"/>
    </row>
    <row r="851" ht="12.75" customHeight="1">
      <c r="D851" s="13"/>
      <c r="E851" s="8"/>
    </row>
    <row r="852" ht="12.75" customHeight="1">
      <c r="D852" s="13"/>
      <c r="E852" s="8"/>
    </row>
    <row r="853" ht="12.75" customHeight="1">
      <c r="D853" s="13"/>
      <c r="E853" s="8"/>
    </row>
    <row r="854" ht="12.75" customHeight="1">
      <c r="D854" s="13"/>
      <c r="E854" s="8"/>
    </row>
    <row r="855" ht="12.75" customHeight="1">
      <c r="D855" s="13"/>
      <c r="E855" s="8"/>
    </row>
    <row r="856" ht="12.75" customHeight="1">
      <c r="D856" s="13"/>
      <c r="E856" s="8"/>
    </row>
    <row r="857" ht="12.75" customHeight="1">
      <c r="D857" s="13"/>
      <c r="E857" s="8"/>
    </row>
    <row r="858" ht="12.75" customHeight="1">
      <c r="D858" s="13"/>
      <c r="E858" s="8"/>
    </row>
    <row r="859" ht="12.75" customHeight="1">
      <c r="D859" s="13"/>
      <c r="E859" s="8"/>
    </row>
    <row r="860" ht="12.75" customHeight="1">
      <c r="D860" s="13"/>
      <c r="E860" s="8"/>
    </row>
    <row r="861" ht="12.75" customHeight="1">
      <c r="D861" s="13"/>
      <c r="E861" s="8"/>
    </row>
    <row r="862" ht="12.75" customHeight="1">
      <c r="D862" s="13"/>
      <c r="E862" s="8"/>
    </row>
    <row r="863" ht="12.75" customHeight="1">
      <c r="D863" s="13"/>
      <c r="E863" s="8"/>
    </row>
    <row r="864" ht="12.75" customHeight="1">
      <c r="D864" s="13"/>
      <c r="E864" s="8"/>
    </row>
    <row r="865" ht="12.75" customHeight="1">
      <c r="D865" s="13"/>
      <c r="E865" s="8"/>
    </row>
    <row r="866" ht="12.75" customHeight="1">
      <c r="D866" s="13"/>
      <c r="E866" s="8"/>
    </row>
    <row r="867" ht="12.75" customHeight="1">
      <c r="D867" s="13"/>
      <c r="E867" s="8"/>
    </row>
    <row r="868" ht="12.75" customHeight="1">
      <c r="D868" s="13"/>
      <c r="E868" s="8"/>
    </row>
    <row r="869" ht="12.75" customHeight="1">
      <c r="D869" s="13"/>
      <c r="E869" s="8"/>
    </row>
    <row r="870" ht="12.75" customHeight="1">
      <c r="D870" s="13"/>
      <c r="E870" s="8"/>
    </row>
    <row r="871" ht="12.75" customHeight="1">
      <c r="D871" s="13"/>
      <c r="E871" s="8"/>
    </row>
    <row r="872" ht="12.75" customHeight="1">
      <c r="D872" s="13"/>
      <c r="E872" s="8"/>
    </row>
    <row r="873" ht="12.75" customHeight="1">
      <c r="D873" s="13"/>
      <c r="E873" s="8"/>
    </row>
    <row r="874" ht="12.75" customHeight="1">
      <c r="D874" s="13"/>
      <c r="E874" s="8"/>
    </row>
    <row r="875" ht="12.75" customHeight="1">
      <c r="D875" s="13"/>
      <c r="E875" s="8"/>
    </row>
    <row r="876" ht="12.75" customHeight="1">
      <c r="D876" s="13"/>
      <c r="E876" s="8"/>
    </row>
    <row r="877" ht="12.75" customHeight="1">
      <c r="D877" s="13"/>
      <c r="E877" s="8"/>
    </row>
    <row r="878" ht="12.75" customHeight="1">
      <c r="D878" s="13"/>
      <c r="E878" s="8"/>
    </row>
    <row r="879" ht="12.75" customHeight="1">
      <c r="D879" s="13"/>
      <c r="E879" s="8"/>
    </row>
    <row r="880" ht="12.75" customHeight="1">
      <c r="D880" s="13"/>
      <c r="E880" s="8"/>
    </row>
    <row r="881" ht="12.75" customHeight="1">
      <c r="D881" s="13"/>
      <c r="E881" s="8"/>
    </row>
    <row r="882" ht="12.75" customHeight="1">
      <c r="D882" s="13"/>
      <c r="E882" s="8"/>
    </row>
    <row r="883" ht="12.75" customHeight="1">
      <c r="D883" s="13"/>
      <c r="E883" s="8"/>
    </row>
    <row r="884" ht="12.75" customHeight="1">
      <c r="D884" s="13"/>
      <c r="E884" s="8"/>
    </row>
    <row r="885" ht="12.75" customHeight="1">
      <c r="D885" s="13"/>
      <c r="E885" s="8"/>
    </row>
    <row r="886" ht="12.75" customHeight="1">
      <c r="D886" s="13"/>
      <c r="E886" s="8"/>
    </row>
    <row r="887" ht="12.75" customHeight="1">
      <c r="D887" s="13"/>
      <c r="E887" s="8"/>
    </row>
    <row r="888" ht="12.75" customHeight="1">
      <c r="D888" s="13"/>
      <c r="E888" s="8"/>
    </row>
    <row r="889" ht="12.75" customHeight="1">
      <c r="D889" s="13"/>
      <c r="E889" s="8"/>
    </row>
    <row r="890" ht="12.75" customHeight="1">
      <c r="D890" s="13"/>
      <c r="E890" s="8"/>
    </row>
    <row r="891" ht="12.75" customHeight="1">
      <c r="D891" s="13"/>
      <c r="E891" s="8"/>
    </row>
    <row r="892" ht="12.75" customHeight="1">
      <c r="D892" s="13"/>
      <c r="E892" s="8"/>
    </row>
    <row r="893" ht="12.75" customHeight="1">
      <c r="D893" s="13"/>
      <c r="E893" s="8"/>
    </row>
    <row r="894" ht="12.75" customHeight="1">
      <c r="D894" s="13"/>
      <c r="E894" s="8"/>
    </row>
    <row r="895" ht="12.75" customHeight="1">
      <c r="D895" s="13"/>
      <c r="E895" s="8"/>
    </row>
    <row r="896" ht="12.75" customHeight="1">
      <c r="D896" s="13"/>
      <c r="E896" s="8"/>
    </row>
    <row r="897" ht="12.75" customHeight="1">
      <c r="D897" s="13"/>
      <c r="E897" s="8"/>
    </row>
    <row r="898" ht="12.75" customHeight="1">
      <c r="D898" s="13"/>
      <c r="E898" s="8"/>
    </row>
    <row r="899" ht="12.75" customHeight="1">
      <c r="D899" s="13"/>
      <c r="E899" s="8"/>
    </row>
    <row r="900" ht="12.75" customHeight="1">
      <c r="D900" s="13"/>
      <c r="E900" s="8"/>
    </row>
    <row r="901" ht="12.75" customHeight="1">
      <c r="D901" s="13"/>
      <c r="E901" s="8"/>
    </row>
    <row r="902" ht="12.75" customHeight="1">
      <c r="D902" s="13"/>
      <c r="E902" s="8"/>
    </row>
    <row r="903" ht="12.75" customHeight="1">
      <c r="D903" s="13"/>
      <c r="E903" s="8"/>
    </row>
    <row r="904" ht="12.75" customHeight="1">
      <c r="D904" s="13"/>
      <c r="E904" s="8"/>
    </row>
    <row r="905" ht="12.75" customHeight="1">
      <c r="D905" s="13"/>
      <c r="E905" s="8"/>
    </row>
    <row r="906" ht="12.75" customHeight="1">
      <c r="D906" s="13"/>
      <c r="E906" s="8"/>
    </row>
    <row r="907" ht="12.75" customHeight="1">
      <c r="D907" s="13"/>
      <c r="E907" s="8"/>
    </row>
    <row r="908" ht="12.75" customHeight="1">
      <c r="D908" s="13"/>
      <c r="E908" s="8"/>
    </row>
    <row r="909" ht="12.75" customHeight="1">
      <c r="D909" s="13"/>
      <c r="E909" s="8"/>
    </row>
    <row r="910" ht="12.75" customHeight="1">
      <c r="D910" s="13"/>
      <c r="E910" s="8"/>
    </row>
    <row r="911" ht="12.75" customHeight="1">
      <c r="D911" s="13"/>
      <c r="E911" s="8"/>
    </row>
    <row r="912" ht="12.75" customHeight="1">
      <c r="D912" s="13"/>
      <c r="E912" s="8"/>
    </row>
    <row r="913" ht="12.75" customHeight="1">
      <c r="D913" s="13"/>
      <c r="E913" s="8"/>
    </row>
    <row r="914" ht="12.75" customHeight="1">
      <c r="D914" s="13"/>
      <c r="E914" s="8"/>
    </row>
    <row r="915" ht="12.75" customHeight="1">
      <c r="D915" s="13"/>
      <c r="E915" s="8"/>
    </row>
    <row r="916" ht="12.75" customHeight="1">
      <c r="D916" s="13"/>
      <c r="E916" s="8"/>
    </row>
    <row r="917" ht="12.75" customHeight="1">
      <c r="D917" s="13"/>
      <c r="E917" s="8"/>
    </row>
    <row r="918" ht="12.75" customHeight="1">
      <c r="D918" s="13"/>
      <c r="E918" s="8"/>
    </row>
    <row r="919" ht="12.75" customHeight="1">
      <c r="D919" s="13"/>
      <c r="E919" s="8"/>
    </row>
    <row r="920" ht="12.75" customHeight="1">
      <c r="D920" s="13"/>
      <c r="E920" s="8"/>
    </row>
    <row r="921" ht="12.75" customHeight="1">
      <c r="D921" s="13"/>
      <c r="E921" s="8"/>
    </row>
    <row r="922" ht="12.75" customHeight="1">
      <c r="D922" s="13"/>
      <c r="E922" s="8"/>
    </row>
    <row r="923" ht="12.75" customHeight="1">
      <c r="D923" s="13"/>
      <c r="E923" s="8"/>
    </row>
    <row r="924" ht="12.75" customHeight="1">
      <c r="D924" s="13"/>
      <c r="E924" s="8"/>
    </row>
    <row r="925" ht="12.75" customHeight="1">
      <c r="D925" s="13"/>
      <c r="E925" s="8"/>
    </row>
    <row r="926" ht="12.75" customHeight="1">
      <c r="D926" s="13"/>
      <c r="E926" s="8"/>
    </row>
    <row r="927" ht="12.75" customHeight="1">
      <c r="D927" s="13"/>
      <c r="E927" s="8"/>
    </row>
    <row r="928" ht="12.75" customHeight="1">
      <c r="D928" s="13"/>
      <c r="E928" s="8"/>
    </row>
    <row r="929" ht="12.75" customHeight="1">
      <c r="D929" s="13"/>
      <c r="E929" s="8"/>
    </row>
    <row r="930" ht="12.75" customHeight="1">
      <c r="D930" s="13"/>
      <c r="E930" s="8"/>
    </row>
    <row r="931" ht="12.75" customHeight="1">
      <c r="D931" s="13"/>
      <c r="E931" s="8"/>
    </row>
    <row r="932" ht="12.75" customHeight="1">
      <c r="D932" s="13"/>
      <c r="E932" s="8"/>
    </row>
    <row r="933" ht="12.75" customHeight="1">
      <c r="D933" s="13"/>
      <c r="E933" s="8"/>
    </row>
    <row r="934" ht="12.75" customHeight="1">
      <c r="D934" s="13"/>
      <c r="E934" s="8"/>
    </row>
    <row r="935" ht="12.75" customHeight="1">
      <c r="D935" s="13"/>
      <c r="E935" s="8"/>
    </row>
    <row r="936" ht="12.75" customHeight="1">
      <c r="D936" s="13"/>
      <c r="E936" s="8"/>
    </row>
    <row r="937" ht="12.75" customHeight="1">
      <c r="D937" s="13"/>
      <c r="E937" s="8"/>
    </row>
    <row r="938" ht="12.75" customHeight="1">
      <c r="D938" s="13"/>
      <c r="E938" s="8"/>
    </row>
    <row r="939" ht="12.75" customHeight="1">
      <c r="D939" s="13"/>
      <c r="E939" s="8"/>
    </row>
    <row r="940" ht="12.75" customHeight="1">
      <c r="D940" s="13"/>
      <c r="E940" s="8"/>
    </row>
    <row r="941" ht="12.75" customHeight="1">
      <c r="D941" s="13"/>
      <c r="E941" s="8"/>
    </row>
    <row r="942" ht="12.75" customHeight="1">
      <c r="D942" s="13"/>
      <c r="E942" s="8"/>
    </row>
    <row r="943" ht="12.75" customHeight="1">
      <c r="D943" s="13"/>
      <c r="E943" s="8"/>
    </row>
    <row r="944" ht="12.75" customHeight="1">
      <c r="D944" s="13"/>
      <c r="E944" s="8"/>
    </row>
    <row r="945" ht="12.75" customHeight="1">
      <c r="D945" s="13"/>
      <c r="E945" s="8"/>
    </row>
    <row r="946" ht="12.75" customHeight="1">
      <c r="D946" s="13"/>
      <c r="E946" s="8"/>
    </row>
    <row r="947" ht="12.75" customHeight="1">
      <c r="D947" s="13"/>
      <c r="E947" s="8"/>
    </row>
    <row r="948" ht="12.75" customHeight="1">
      <c r="D948" s="13"/>
      <c r="E948" s="8"/>
    </row>
    <row r="949" ht="12.75" customHeight="1">
      <c r="D949" s="13"/>
      <c r="E949" s="8"/>
    </row>
    <row r="950" ht="12.75" customHeight="1">
      <c r="D950" s="13"/>
      <c r="E950" s="8"/>
    </row>
    <row r="951" ht="12.75" customHeight="1">
      <c r="D951" s="13"/>
      <c r="E951" s="8"/>
    </row>
    <row r="952" ht="12.75" customHeight="1">
      <c r="D952" s="13"/>
      <c r="E952" s="8"/>
    </row>
    <row r="953" ht="12.75" customHeight="1">
      <c r="D953" s="13"/>
      <c r="E953" s="8"/>
    </row>
    <row r="954" ht="12.75" customHeight="1">
      <c r="D954" s="13"/>
      <c r="E954" s="8"/>
    </row>
    <row r="955" ht="12.75" customHeight="1">
      <c r="D955" s="13"/>
      <c r="E955" s="8"/>
    </row>
    <row r="956" ht="12.75" customHeight="1">
      <c r="D956" s="13"/>
      <c r="E956" s="8"/>
    </row>
    <row r="957" ht="12.75" customHeight="1">
      <c r="D957" s="13"/>
      <c r="E957" s="8"/>
    </row>
    <row r="958" ht="12.75" customHeight="1">
      <c r="D958" s="13"/>
      <c r="E958" s="8"/>
    </row>
    <row r="959" ht="12.75" customHeight="1">
      <c r="D959" s="13"/>
      <c r="E959" s="8"/>
    </row>
    <row r="960" ht="12.75" customHeight="1">
      <c r="D960" s="13"/>
      <c r="E960" s="8"/>
    </row>
    <row r="961" ht="12.75" customHeight="1">
      <c r="D961" s="13"/>
      <c r="E961" s="8"/>
    </row>
    <row r="962" ht="12.75" customHeight="1">
      <c r="D962" s="13"/>
      <c r="E962" s="8"/>
    </row>
    <row r="963" ht="12.75" customHeight="1">
      <c r="D963" s="13"/>
      <c r="E963" s="8"/>
    </row>
    <row r="964" ht="12.75" customHeight="1">
      <c r="D964" s="13"/>
      <c r="E964" s="8"/>
    </row>
    <row r="965" ht="12.75" customHeight="1">
      <c r="D965" s="13"/>
      <c r="E965" s="8"/>
    </row>
    <row r="966" ht="12.75" customHeight="1">
      <c r="D966" s="13"/>
      <c r="E966" s="8"/>
    </row>
    <row r="967" ht="12.75" customHeight="1">
      <c r="D967" s="13"/>
      <c r="E967" s="8"/>
    </row>
    <row r="968" ht="12.75" customHeight="1">
      <c r="D968" s="13"/>
      <c r="E968" s="8"/>
    </row>
    <row r="969" ht="12.75" customHeight="1">
      <c r="D969" s="13"/>
      <c r="E969" s="8"/>
    </row>
    <row r="970" ht="12.75" customHeight="1">
      <c r="D970" s="13"/>
      <c r="E970" s="8"/>
    </row>
    <row r="971" ht="12.75" customHeight="1">
      <c r="D971" s="13"/>
      <c r="E971" s="8"/>
    </row>
    <row r="972" ht="12.75" customHeight="1">
      <c r="D972" s="13"/>
      <c r="E972" s="8"/>
    </row>
    <row r="973" ht="12.75" customHeight="1">
      <c r="D973" s="13"/>
      <c r="E973" s="8"/>
    </row>
    <row r="974" ht="12.75" customHeight="1">
      <c r="D974" s="13"/>
      <c r="E974" s="8"/>
    </row>
    <row r="975" ht="12.75" customHeight="1">
      <c r="D975" s="13"/>
      <c r="E975" s="8"/>
    </row>
    <row r="976" ht="12.75" customHeight="1">
      <c r="D976" s="13"/>
      <c r="E976" s="8"/>
    </row>
    <row r="977" ht="12.75" customHeight="1">
      <c r="D977" s="13"/>
      <c r="E977" s="8"/>
    </row>
    <row r="978" ht="12.75" customHeight="1">
      <c r="D978" s="13"/>
      <c r="E978" s="8"/>
    </row>
    <row r="979" ht="12.75" customHeight="1">
      <c r="D979" s="13"/>
      <c r="E979" s="8"/>
    </row>
    <row r="980" ht="12.75" customHeight="1">
      <c r="D980" s="13"/>
      <c r="E980" s="8"/>
    </row>
    <row r="981" ht="12.75" customHeight="1">
      <c r="D981" s="13"/>
      <c r="E981" s="8"/>
    </row>
    <row r="982" ht="12.75" customHeight="1">
      <c r="D982" s="13"/>
      <c r="E982" s="8"/>
    </row>
    <row r="983" ht="12.75" customHeight="1">
      <c r="D983" s="13"/>
      <c r="E983" s="8"/>
    </row>
    <row r="984" ht="12.75" customHeight="1">
      <c r="D984" s="13"/>
      <c r="E984" s="8"/>
    </row>
    <row r="985" ht="12.75" customHeight="1">
      <c r="D985" s="13"/>
      <c r="E985" s="8"/>
    </row>
    <row r="986" ht="12.75" customHeight="1">
      <c r="D986" s="13"/>
      <c r="E986" s="8"/>
    </row>
    <row r="987" ht="12.75" customHeight="1">
      <c r="D987" s="13"/>
      <c r="E987" s="8"/>
    </row>
    <row r="988" ht="12.75" customHeight="1">
      <c r="D988" s="13"/>
      <c r="E988" s="8"/>
    </row>
    <row r="989" ht="12.75" customHeight="1">
      <c r="D989" s="13"/>
      <c r="E989" s="8"/>
    </row>
    <row r="990" ht="12.75" customHeight="1">
      <c r="D990" s="13"/>
      <c r="E990" s="8"/>
    </row>
    <row r="991" ht="12.75" customHeight="1">
      <c r="D991" s="13"/>
      <c r="E991" s="8"/>
    </row>
    <row r="992" ht="12.75" customHeight="1">
      <c r="D992" s="13"/>
      <c r="E992" s="8"/>
    </row>
    <row r="993" ht="12.75" customHeight="1">
      <c r="D993" s="13"/>
      <c r="E993" s="8"/>
    </row>
    <row r="994" ht="12.75" customHeight="1">
      <c r="D994" s="13"/>
      <c r="E994" s="8"/>
    </row>
    <row r="995" ht="12.75" customHeight="1">
      <c r="D995" s="13"/>
      <c r="E995" s="8"/>
    </row>
    <row r="996" ht="12.75" customHeight="1">
      <c r="D996" s="13"/>
      <c r="E996" s="8"/>
    </row>
    <row r="997" ht="12.75" customHeight="1">
      <c r="D997" s="13"/>
      <c r="E997" s="8"/>
    </row>
    <row r="998" ht="12.75" customHeight="1">
      <c r="D998" s="13"/>
      <c r="E998" s="8"/>
    </row>
    <row r="999" ht="12.75" customHeight="1">
      <c r="D999" s="13"/>
      <c r="E999" s="8"/>
    </row>
    <row r="1000" ht="12.75" customHeight="1">
      <c r="D1000" s="13"/>
      <c r="E1000" s="8"/>
    </row>
  </sheetData>
  <autoFilter ref="$A$9:$H$419"/>
  <mergeCells count="2">
    <mergeCell ref="A8:E8"/>
    <mergeCell ref="G8:K8"/>
  </mergeCells>
  <conditionalFormatting sqref="C1:C7 C9:C1000 G1:G1000">
    <cfRule type="expression" dxfId="0" priority="1">
      <formula>AND(COUNTIF(G:G,G1)+COUNTIF(C:C,G1)&gt;1,NOT(ISBLANK(G1)))</formula>
    </cfRule>
  </conditionalFormatting>
  <conditionalFormatting sqref="M265:M266">
    <cfRule type="expression" dxfId="0" priority="2">
      <formula>AND(COUNTIF(G:G,M265)+COUNTIF(C:C,M265)&gt;1,NOT(ISBLANK(M265)))</formula>
    </cfRule>
  </conditionalFormatting>
  <conditionalFormatting sqref="N267">
    <cfRule type="expression" dxfId="0" priority="3">
      <formula>AND(COUNTIF(G:G,N267)+COUNTIF(C:C,N267)&gt;1,NOT(ISBLANK(N267)))</formula>
    </cfRule>
  </conditionalFormatting>
  <conditionalFormatting sqref="M270:M271">
    <cfRule type="expression" dxfId="0" priority="4">
      <formula>AND(COUNTIF(G:G,M270)+COUNTIF(C:C,M270)&gt;1,NOT(ISBLANK(M270)))</formula>
    </cfRule>
  </conditionalFormatting>
  <conditionalFormatting sqref="N272">
    <cfRule type="expression" dxfId="0" priority="5">
      <formula>AND(COUNTIF(G:G,N272)+COUNTIF(C:C,N272)&gt;1,NOT(ISBLANK(N272)))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2025-10-15T11:57:31Z</dcterms:created>
  <dc:creator>NZUBAHIMANA DHUUL</dc:creator>
</cp:coreProperties>
</file>